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.g.tsagris\Desktop\python\"/>
    </mc:Choice>
  </mc:AlternateContent>
  <xr:revisionPtr revIDLastSave="0" documentId="8_{A1D8BD8F-B9C7-45AC-BB18-A8F93C88FC89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Δεδομένα Μήνα" sheetId="1" r:id="rId1"/>
    <sheet name="Ισοζύγιο Μήνα" sheetId="2" r:id="rId2"/>
    <sheet name="Αναφορά Μήνα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4" i="1" l="1"/>
  <c r="U5" i="1"/>
  <c r="J9" i="3" s="1"/>
  <c r="U6" i="1"/>
  <c r="J10" i="3" s="1"/>
  <c r="U7" i="1"/>
  <c r="J11" i="3" s="1"/>
  <c r="U8" i="1"/>
  <c r="J12" i="3" s="1"/>
  <c r="U9" i="1"/>
  <c r="J13" i="3" s="1"/>
  <c r="U10" i="1"/>
  <c r="J14" i="3" s="1"/>
  <c r="U11" i="1"/>
  <c r="J15" i="3" s="1"/>
  <c r="U12" i="1"/>
  <c r="J16" i="3" s="1"/>
  <c r="U13" i="1"/>
  <c r="J17" i="3" s="1"/>
  <c r="U14" i="1"/>
  <c r="J18" i="3" s="1"/>
  <c r="U15" i="1"/>
  <c r="J19" i="3" s="1"/>
  <c r="U16" i="1"/>
  <c r="J20" i="3" s="1"/>
  <c r="U17" i="1"/>
  <c r="J21" i="3" s="1"/>
  <c r="U18" i="1"/>
  <c r="E21" i="2" s="1"/>
  <c r="U19" i="1"/>
  <c r="J23" i="3" s="1"/>
  <c r="U20" i="1"/>
  <c r="E23" i="2" s="1"/>
  <c r="U21" i="1"/>
  <c r="J25" i="3" s="1"/>
  <c r="U22" i="1"/>
  <c r="J26" i="3" s="1"/>
  <c r="U23" i="1"/>
  <c r="J27" i="3" s="1"/>
  <c r="U24" i="1"/>
  <c r="J28" i="3" s="1"/>
  <c r="U25" i="1"/>
  <c r="J29" i="3" s="1"/>
  <c r="U26" i="1"/>
  <c r="J30" i="3" s="1"/>
  <c r="U27" i="1"/>
  <c r="J31" i="3" s="1"/>
  <c r="U28" i="1"/>
  <c r="J32" i="3" s="1"/>
  <c r="U29" i="1"/>
  <c r="J33" i="3" s="1"/>
  <c r="U30" i="1"/>
  <c r="J34" i="3" s="1"/>
  <c r="U31" i="1"/>
  <c r="J35" i="3" s="1"/>
  <c r="U32" i="1"/>
  <c r="J36" i="3" s="1"/>
  <c r="U33" i="1"/>
  <c r="J37" i="3" s="1"/>
  <c r="U34" i="1"/>
  <c r="J38" i="3" s="1"/>
  <c r="U3" i="1"/>
  <c r="C40" i="3"/>
  <c r="L9" i="3"/>
  <c r="L10" i="3"/>
  <c r="L12" i="3"/>
  <c r="L14" i="3"/>
  <c r="L15" i="3"/>
  <c r="L17" i="3"/>
  <c r="L20" i="3"/>
  <c r="L21" i="3"/>
  <c r="L24" i="3"/>
  <c r="L26" i="3"/>
  <c r="L27" i="3"/>
  <c r="L28" i="3"/>
  <c r="L30" i="3"/>
  <c r="L31" i="3"/>
  <c r="L32" i="3"/>
  <c r="L34" i="3"/>
  <c r="L35" i="3"/>
  <c r="L36" i="3"/>
  <c r="L38" i="3"/>
  <c r="K10" i="3"/>
  <c r="K18" i="3"/>
  <c r="K21" i="3"/>
  <c r="K26" i="3"/>
  <c r="K29" i="3"/>
  <c r="K34" i="3"/>
  <c r="K37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G9" i="3"/>
  <c r="G10" i="3"/>
  <c r="G12" i="3"/>
  <c r="G14" i="3"/>
  <c r="G15" i="3"/>
  <c r="G17" i="3"/>
  <c r="G20" i="3"/>
  <c r="G21" i="3"/>
  <c r="G24" i="3"/>
  <c r="G26" i="3"/>
  <c r="G27" i="3"/>
  <c r="G28" i="3"/>
  <c r="G30" i="3"/>
  <c r="G31" i="3"/>
  <c r="G32" i="3"/>
  <c r="G34" i="3"/>
  <c r="G35" i="3"/>
  <c r="G36" i="3"/>
  <c r="G38" i="3"/>
  <c r="F32" i="3"/>
  <c r="D11" i="3"/>
  <c r="D15" i="3"/>
  <c r="D16" i="3"/>
  <c r="D17" i="3"/>
  <c r="D19" i="3"/>
  <c r="D20" i="3"/>
  <c r="D23" i="3"/>
  <c r="D24" i="3"/>
  <c r="D25" i="3"/>
  <c r="D26" i="3"/>
  <c r="D27" i="3"/>
  <c r="D28" i="3"/>
  <c r="D31" i="3"/>
  <c r="D33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B9" i="3"/>
  <c r="B10" i="3"/>
  <c r="B12" i="3"/>
  <c r="B14" i="3"/>
  <c r="B15" i="3"/>
  <c r="B17" i="3"/>
  <c r="B20" i="3"/>
  <c r="B21" i="3"/>
  <c r="B22" i="3"/>
  <c r="B24" i="3"/>
  <c r="B26" i="3"/>
  <c r="B27" i="3"/>
  <c r="B28" i="3"/>
  <c r="B30" i="3"/>
  <c r="B31" i="3"/>
  <c r="B32" i="3"/>
  <c r="B34" i="3"/>
  <c r="B35" i="3"/>
  <c r="B36" i="3"/>
  <c r="B38" i="3"/>
  <c r="BY34" i="1"/>
  <c r="Z14" i="1"/>
  <c r="L18" i="3" s="1"/>
  <c r="Z15" i="1"/>
  <c r="L19" i="3" s="1"/>
  <c r="Z21" i="1"/>
  <c r="L25" i="3" s="1"/>
  <c r="Z25" i="1"/>
  <c r="L29" i="3" s="1"/>
  <c r="Z29" i="1"/>
  <c r="L33" i="3" s="1"/>
  <c r="Y12" i="1"/>
  <c r="K16" i="3" s="1"/>
  <c r="Y13" i="1"/>
  <c r="K17" i="3" s="1"/>
  <c r="Y14" i="1"/>
  <c r="Y15" i="1"/>
  <c r="K19" i="3" s="1"/>
  <c r="Y16" i="1"/>
  <c r="K20" i="3" s="1"/>
  <c r="Y17" i="1"/>
  <c r="Y18" i="1"/>
  <c r="K22" i="3" s="1"/>
  <c r="Y19" i="1"/>
  <c r="AL19" i="1" s="1"/>
  <c r="AO19" i="1" s="1"/>
  <c r="Y20" i="1"/>
  <c r="K24" i="3" s="1"/>
  <c r="Y21" i="1"/>
  <c r="K25" i="3" s="1"/>
  <c r="Y22" i="1"/>
  <c r="Y23" i="1"/>
  <c r="K27" i="3" s="1"/>
  <c r="Y24" i="1"/>
  <c r="K28" i="3" s="1"/>
  <c r="Y25" i="1"/>
  <c r="Y26" i="1"/>
  <c r="K30" i="3" s="1"/>
  <c r="Y27" i="1"/>
  <c r="K31" i="3" s="1"/>
  <c r="Y28" i="1"/>
  <c r="K32" i="3" s="1"/>
  <c r="Y29" i="1"/>
  <c r="K33" i="3" s="1"/>
  <c r="Y30" i="1"/>
  <c r="Y31" i="1"/>
  <c r="K35" i="3" s="1"/>
  <c r="Y32" i="1"/>
  <c r="K36" i="3" s="1"/>
  <c r="Y33" i="1"/>
  <c r="Y34" i="1"/>
  <c r="K38" i="3" s="1"/>
  <c r="BE33" i="1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I8" i="3"/>
  <c r="A8" i="3"/>
  <c r="J37" i="2"/>
  <c r="A37" i="2"/>
  <c r="J36" i="2"/>
  <c r="A36" i="2"/>
  <c r="J35" i="2"/>
  <c r="A35" i="2"/>
  <c r="J34" i="2"/>
  <c r="A34" i="2"/>
  <c r="J33" i="2"/>
  <c r="A33" i="2"/>
  <c r="J32" i="2"/>
  <c r="A32" i="2"/>
  <c r="J31" i="2"/>
  <c r="A31" i="2"/>
  <c r="J30" i="2"/>
  <c r="A30" i="2"/>
  <c r="J29" i="2"/>
  <c r="A29" i="2"/>
  <c r="J28" i="2"/>
  <c r="A28" i="2"/>
  <c r="J27" i="2"/>
  <c r="A27" i="2"/>
  <c r="J26" i="2"/>
  <c r="A26" i="2"/>
  <c r="J25" i="2"/>
  <c r="A25" i="2"/>
  <c r="J24" i="2"/>
  <c r="A24" i="2"/>
  <c r="J23" i="2"/>
  <c r="A23" i="2"/>
  <c r="J22" i="2"/>
  <c r="A22" i="2"/>
  <c r="J21" i="2"/>
  <c r="A21" i="2"/>
  <c r="J20" i="2"/>
  <c r="A20" i="2"/>
  <c r="J19" i="2"/>
  <c r="A19" i="2"/>
  <c r="J18" i="2"/>
  <c r="A18" i="2"/>
  <c r="J17" i="2"/>
  <c r="A17" i="2"/>
  <c r="J16" i="2"/>
  <c r="A16" i="2"/>
  <c r="J15" i="2"/>
  <c r="A15" i="2"/>
  <c r="J14" i="2"/>
  <c r="A14" i="2"/>
  <c r="J13" i="2"/>
  <c r="A13" i="2"/>
  <c r="J12" i="2"/>
  <c r="A12" i="2"/>
  <c r="J11" i="2"/>
  <c r="A11" i="2"/>
  <c r="J10" i="2"/>
  <c r="A10" i="2"/>
  <c r="J9" i="2"/>
  <c r="A9" i="2"/>
  <c r="J8" i="2"/>
  <c r="A8" i="2"/>
  <c r="J7" i="2"/>
  <c r="J38" i="2" s="1"/>
  <c r="J2" i="2"/>
  <c r="AN67" i="1"/>
  <c r="AM67" i="1"/>
  <c r="AM66" i="1"/>
  <c r="AN66" i="1" s="1"/>
  <c r="AM65" i="1"/>
  <c r="AN65" i="1" s="1"/>
  <c r="AM64" i="1"/>
  <c r="AN64" i="1" s="1"/>
  <c r="AN63" i="1"/>
  <c r="AM63" i="1"/>
  <c r="AM62" i="1"/>
  <c r="AN62" i="1" s="1"/>
  <c r="AM61" i="1"/>
  <c r="AN61" i="1" s="1"/>
  <c r="AM60" i="1"/>
  <c r="AN60" i="1" s="1"/>
  <c r="AK60" i="1"/>
  <c r="AN59" i="1"/>
  <c r="AM59" i="1"/>
  <c r="AN58" i="1"/>
  <c r="AM58" i="1"/>
  <c r="AN57" i="1"/>
  <c r="AM57" i="1"/>
  <c r="AM56" i="1"/>
  <c r="AN56" i="1" s="1"/>
  <c r="AN55" i="1"/>
  <c r="AM55" i="1"/>
  <c r="AN54" i="1"/>
  <c r="AM54" i="1"/>
  <c r="AN53" i="1"/>
  <c r="AM53" i="1"/>
  <c r="AM52" i="1"/>
  <c r="AN52" i="1" s="1"/>
  <c r="AN51" i="1"/>
  <c r="AM51" i="1"/>
  <c r="AN50" i="1"/>
  <c r="AM50" i="1"/>
  <c r="AN49" i="1"/>
  <c r="AM49" i="1"/>
  <c r="AM48" i="1"/>
  <c r="AN48" i="1" s="1"/>
  <c r="AN47" i="1"/>
  <c r="AM47" i="1"/>
  <c r="AN46" i="1"/>
  <c r="AM46" i="1"/>
  <c r="AN45" i="1"/>
  <c r="AM45" i="1"/>
  <c r="AM44" i="1"/>
  <c r="AN44" i="1" s="1"/>
  <c r="AN43" i="1"/>
  <c r="AM43" i="1"/>
  <c r="AM42" i="1"/>
  <c r="AN42" i="1" s="1"/>
  <c r="AM41" i="1"/>
  <c r="AN41" i="1" s="1"/>
  <c r="AN40" i="1"/>
  <c r="AM40" i="1"/>
  <c r="AM39" i="1"/>
  <c r="AN39" i="1" s="1"/>
  <c r="U36" i="1"/>
  <c r="AR35" i="1"/>
  <c r="AJ35" i="1"/>
  <c r="AH35" i="1"/>
  <c r="AC35" i="1"/>
  <c r="AB35" i="1"/>
  <c r="X35" i="1"/>
  <c r="W35" i="1"/>
  <c r="V35" i="1"/>
  <c r="Q35" i="1"/>
  <c r="P35" i="1"/>
  <c r="N35" i="1"/>
  <c r="M35" i="1"/>
  <c r="J35" i="1"/>
  <c r="I35" i="1"/>
  <c r="G35" i="1"/>
  <c r="F35" i="1"/>
  <c r="C35" i="1"/>
  <c r="B35" i="1"/>
  <c r="BW34" i="1"/>
  <c r="BQ34" i="1"/>
  <c r="BT34" i="1" s="1"/>
  <c r="BM34" i="1"/>
  <c r="BK34" i="1"/>
  <c r="BG34" i="1"/>
  <c r="BE34" i="1"/>
  <c r="AI34" i="1"/>
  <c r="K34" i="1"/>
  <c r="D37" i="2" s="1"/>
  <c r="H34" i="1"/>
  <c r="D38" i="3" s="1"/>
  <c r="BY33" i="1"/>
  <c r="BW33" i="1"/>
  <c r="BS33" i="1"/>
  <c r="BQ33" i="1"/>
  <c r="BM33" i="1"/>
  <c r="BK33" i="1"/>
  <c r="BG33" i="1"/>
  <c r="AT33" i="1"/>
  <c r="AU33" i="1" s="1"/>
  <c r="AI33" i="1"/>
  <c r="AD33" i="1"/>
  <c r="AE33" i="1" s="1"/>
  <c r="K33" i="1"/>
  <c r="D36" i="2" s="1"/>
  <c r="H33" i="1"/>
  <c r="Z33" i="1" s="1"/>
  <c r="L37" i="3" s="1"/>
  <c r="B37" i="3"/>
  <c r="BY32" i="1"/>
  <c r="BW32" i="1"/>
  <c r="BS32" i="1"/>
  <c r="BQ32" i="1"/>
  <c r="BM32" i="1"/>
  <c r="BK32" i="1"/>
  <c r="BG32" i="1"/>
  <c r="BE32" i="1"/>
  <c r="AT32" i="1"/>
  <c r="AU32" i="1" s="1"/>
  <c r="AO32" i="1"/>
  <c r="AI32" i="1"/>
  <c r="AE32" i="1"/>
  <c r="K32" i="1"/>
  <c r="D35" i="2" s="1"/>
  <c r="H32" i="1"/>
  <c r="C35" i="2" s="1"/>
  <c r="BY31" i="1"/>
  <c r="BW31" i="1"/>
  <c r="BZ31" i="1" s="1"/>
  <c r="BS31" i="1"/>
  <c r="BQ31" i="1"/>
  <c r="BT31" i="1" s="1"/>
  <c r="BM31" i="1"/>
  <c r="BK31" i="1"/>
  <c r="BG31" i="1"/>
  <c r="BE31" i="1"/>
  <c r="AT31" i="1"/>
  <c r="AU31" i="1" s="1"/>
  <c r="AI31" i="1"/>
  <c r="AD31" i="1"/>
  <c r="AE31" i="1" s="1"/>
  <c r="K31" i="1"/>
  <c r="D34" i="2" s="1"/>
  <c r="H31" i="1"/>
  <c r="D35" i="3" s="1"/>
  <c r="BY30" i="1"/>
  <c r="BW30" i="1"/>
  <c r="BS30" i="1"/>
  <c r="BQ30" i="1"/>
  <c r="BT30" i="1" s="1"/>
  <c r="BM30" i="1"/>
  <c r="BK30" i="1"/>
  <c r="BN30" i="1" s="1"/>
  <c r="O30" i="1" s="1"/>
  <c r="F34" i="3" s="1"/>
  <c r="BG30" i="1"/>
  <c r="BE30" i="1"/>
  <c r="AT30" i="1"/>
  <c r="AU30" i="1" s="1"/>
  <c r="AO30" i="1"/>
  <c r="AI30" i="1"/>
  <c r="AD30" i="1"/>
  <c r="AE30" i="1" s="1"/>
  <c r="K30" i="1"/>
  <c r="D33" i="2" s="1"/>
  <c r="H30" i="1"/>
  <c r="D34" i="3" s="1"/>
  <c r="BY29" i="1"/>
  <c r="BW29" i="1"/>
  <c r="BS29" i="1"/>
  <c r="BQ29" i="1"/>
  <c r="BT29" i="1" s="1"/>
  <c r="BM29" i="1"/>
  <c r="BK29" i="1"/>
  <c r="BN29" i="1" s="1"/>
  <c r="O29" i="1" s="1"/>
  <c r="F33" i="3" s="1"/>
  <c r="BG29" i="1"/>
  <c r="BE29" i="1"/>
  <c r="AT29" i="1"/>
  <c r="AU29" i="1" s="1"/>
  <c r="AI29" i="1"/>
  <c r="AE29" i="1"/>
  <c r="K29" i="1"/>
  <c r="D32" i="2" s="1"/>
  <c r="H29" i="1"/>
  <c r="C32" i="2" s="1"/>
  <c r="B33" i="3"/>
  <c r="BZ28" i="1"/>
  <c r="CB28" i="1" s="1"/>
  <c r="BY28" i="1"/>
  <c r="BW28" i="1"/>
  <c r="BS28" i="1"/>
  <c r="BQ28" i="1"/>
  <c r="BM28" i="1"/>
  <c r="BK28" i="1"/>
  <c r="BN28" i="1" s="1"/>
  <c r="O28" i="1" s="1"/>
  <c r="BG28" i="1"/>
  <c r="BE28" i="1"/>
  <c r="AT28" i="1"/>
  <c r="AU28" i="1" s="1"/>
  <c r="AI28" i="1"/>
  <c r="AD28" i="1"/>
  <c r="AE28" i="1" s="1"/>
  <c r="K28" i="1"/>
  <c r="D31" i="2" s="1"/>
  <c r="H28" i="1"/>
  <c r="BY27" i="1"/>
  <c r="BZ27" i="1" s="1"/>
  <c r="BW27" i="1"/>
  <c r="BS27" i="1"/>
  <c r="BQ27" i="1"/>
  <c r="BT27" i="1" s="1"/>
  <c r="BM27" i="1"/>
  <c r="BK27" i="1"/>
  <c r="BG27" i="1"/>
  <c r="BE27" i="1"/>
  <c r="BH27" i="1" s="1"/>
  <c r="M31" i="3" s="1"/>
  <c r="AT27" i="1"/>
  <c r="AU27" i="1" s="1"/>
  <c r="AI27" i="1"/>
  <c r="AD27" i="1"/>
  <c r="AE27" i="1" s="1"/>
  <c r="K27" i="1"/>
  <c r="D30" i="2" s="1"/>
  <c r="H27" i="1"/>
  <c r="BY26" i="1"/>
  <c r="BW26" i="1"/>
  <c r="BZ26" i="1" s="1"/>
  <c r="BS26" i="1"/>
  <c r="BQ26" i="1"/>
  <c r="BM26" i="1"/>
  <c r="BK26" i="1"/>
  <c r="BG26" i="1"/>
  <c r="BH26" i="1" s="1"/>
  <c r="M30" i="3" s="1"/>
  <c r="BE26" i="1"/>
  <c r="AT26" i="1"/>
  <c r="AU26" i="1" s="1"/>
  <c r="AO26" i="1"/>
  <c r="AI26" i="1"/>
  <c r="AE26" i="1"/>
  <c r="B29" i="2"/>
  <c r="K26" i="1"/>
  <c r="D29" i="2" s="1"/>
  <c r="H26" i="1"/>
  <c r="D30" i="3" s="1"/>
  <c r="BY25" i="1"/>
  <c r="BW25" i="1"/>
  <c r="BS25" i="1"/>
  <c r="BQ25" i="1"/>
  <c r="BT25" i="1" s="1"/>
  <c r="BM25" i="1"/>
  <c r="BK25" i="1"/>
  <c r="BN25" i="1" s="1"/>
  <c r="O25" i="1" s="1"/>
  <c r="F29" i="3" s="1"/>
  <c r="BG25" i="1"/>
  <c r="BE25" i="1"/>
  <c r="BH25" i="1" s="1"/>
  <c r="M29" i="3" s="1"/>
  <c r="AT25" i="1"/>
  <c r="AU25" i="1" s="1"/>
  <c r="AM25" i="1"/>
  <c r="AI25" i="1"/>
  <c r="AD25" i="1"/>
  <c r="AE25" i="1" s="1"/>
  <c r="K25" i="1"/>
  <c r="D28" i="2" s="1"/>
  <c r="H25" i="1"/>
  <c r="D29" i="3" s="1"/>
  <c r="B29" i="3"/>
  <c r="BY24" i="1"/>
  <c r="BZ24" i="1" s="1"/>
  <c r="BW24" i="1"/>
  <c r="BS24" i="1"/>
  <c r="BQ24" i="1"/>
  <c r="BM24" i="1"/>
  <c r="BK24" i="1"/>
  <c r="BN24" i="1" s="1"/>
  <c r="O24" i="1" s="1"/>
  <c r="F28" i="3" s="1"/>
  <c r="BG24" i="1"/>
  <c r="BE24" i="1"/>
  <c r="AT24" i="1"/>
  <c r="AU24" i="1" s="1"/>
  <c r="AO24" i="1"/>
  <c r="AI24" i="1"/>
  <c r="AD24" i="1"/>
  <c r="AE24" i="1" s="1"/>
  <c r="K24" i="1"/>
  <c r="D27" i="2" s="1"/>
  <c r="H24" i="1"/>
  <c r="BY23" i="1"/>
  <c r="BW23" i="1"/>
  <c r="BZ23" i="1" s="1"/>
  <c r="BS23" i="1"/>
  <c r="BQ23" i="1"/>
  <c r="BT23" i="1" s="1"/>
  <c r="BM23" i="1"/>
  <c r="BK23" i="1"/>
  <c r="BN23" i="1" s="1"/>
  <c r="O23" i="1" s="1"/>
  <c r="F27" i="3" s="1"/>
  <c r="BG23" i="1"/>
  <c r="BH23" i="1" s="1"/>
  <c r="M27" i="3" s="1"/>
  <c r="BE23" i="1"/>
  <c r="AT23" i="1"/>
  <c r="AU23" i="1" s="1"/>
  <c r="AI23" i="1"/>
  <c r="AD23" i="1"/>
  <c r="AE23" i="1" s="1"/>
  <c r="B26" i="2"/>
  <c r="K23" i="1"/>
  <c r="D26" i="2" s="1"/>
  <c r="H23" i="1"/>
  <c r="BY22" i="1"/>
  <c r="BW22" i="1"/>
  <c r="BZ22" i="1" s="1"/>
  <c r="BS22" i="1"/>
  <c r="BQ22" i="1"/>
  <c r="BT22" i="1" s="1"/>
  <c r="BM22" i="1"/>
  <c r="BN22" i="1" s="1"/>
  <c r="O22" i="1" s="1"/>
  <c r="F26" i="3" s="1"/>
  <c r="BK22" i="1"/>
  <c r="BG22" i="1"/>
  <c r="BE22" i="1"/>
  <c r="AU22" i="1"/>
  <c r="AT22" i="1"/>
  <c r="AI22" i="1"/>
  <c r="AE22" i="1"/>
  <c r="AD22" i="1"/>
  <c r="AO22" i="1"/>
  <c r="K22" i="1"/>
  <c r="D25" i="2" s="1"/>
  <c r="H22" i="1"/>
  <c r="BY21" i="1"/>
  <c r="BW21" i="1"/>
  <c r="BZ21" i="1" s="1"/>
  <c r="R21" i="1" s="1"/>
  <c r="H24" i="2" s="1"/>
  <c r="BS21" i="1"/>
  <c r="BQ21" i="1"/>
  <c r="BT21" i="1" s="1"/>
  <c r="BM21" i="1"/>
  <c r="BK21" i="1"/>
  <c r="BN21" i="1" s="1"/>
  <c r="O21" i="1" s="1"/>
  <c r="F25" i="3" s="1"/>
  <c r="BG21" i="1"/>
  <c r="BE21" i="1"/>
  <c r="AU21" i="1"/>
  <c r="AT21" i="1"/>
  <c r="AI21" i="1"/>
  <c r="AE21" i="1"/>
  <c r="AD21" i="1"/>
  <c r="K21" i="1"/>
  <c r="D24" i="2" s="1"/>
  <c r="H21" i="1"/>
  <c r="B25" i="3"/>
  <c r="BY20" i="1"/>
  <c r="BW20" i="1"/>
  <c r="BZ20" i="1" s="1"/>
  <c r="BS20" i="1"/>
  <c r="BQ20" i="1"/>
  <c r="BM20" i="1"/>
  <c r="BK20" i="1"/>
  <c r="BN20" i="1" s="1"/>
  <c r="O20" i="1" s="1"/>
  <c r="F24" i="3" s="1"/>
  <c r="BG20" i="1"/>
  <c r="BE20" i="1"/>
  <c r="AU20" i="1"/>
  <c r="AT20" i="1"/>
  <c r="AO20" i="1"/>
  <c r="AI20" i="1"/>
  <c r="AE20" i="1"/>
  <c r="K20" i="1"/>
  <c r="D23" i="2" s="1"/>
  <c r="H20" i="1"/>
  <c r="BY19" i="1"/>
  <c r="BW19" i="1"/>
  <c r="BZ19" i="1" s="1"/>
  <c r="BS19" i="1"/>
  <c r="BQ19" i="1"/>
  <c r="BM19" i="1"/>
  <c r="BK19" i="1"/>
  <c r="BG19" i="1"/>
  <c r="BE19" i="1"/>
  <c r="AU19" i="1"/>
  <c r="AT19" i="1"/>
  <c r="AI19" i="1"/>
  <c r="AE19" i="1"/>
  <c r="K19" i="1"/>
  <c r="D22" i="2" s="1"/>
  <c r="H19" i="1"/>
  <c r="Z19" i="1" s="1"/>
  <c r="L23" i="3" s="1"/>
  <c r="B23" i="3"/>
  <c r="BY18" i="1"/>
  <c r="BW18" i="1"/>
  <c r="BZ18" i="1" s="1"/>
  <c r="R18" i="1" s="1"/>
  <c r="H21" i="2" s="1"/>
  <c r="BS18" i="1"/>
  <c r="BQ18" i="1"/>
  <c r="BM18" i="1"/>
  <c r="BK18" i="1"/>
  <c r="BN18" i="1" s="1"/>
  <c r="O18" i="1" s="1"/>
  <c r="F22" i="3" s="1"/>
  <c r="BG18" i="1"/>
  <c r="BE18" i="1"/>
  <c r="AU18" i="1"/>
  <c r="AT18" i="1"/>
  <c r="AI18" i="1"/>
  <c r="AE18" i="1"/>
  <c r="AD18" i="1"/>
  <c r="K18" i="1"/>
  <c r="D21" i="2" s="1"/>
  <c r="H18" i="1"/>
  <c r="Z18" i="1" s="1"/>
  <c r="L22" i="3" s="1"/>
  <c r="BY17" i="1"/>
  <c r="BW17" i="1"/>
  <c r="BS17" i="1"/>
  <c r="BQ17" i="1"/>
  <c r="BM17" i="1"/>
  <c r="BK17" i="1"/>
  <c r="BN17" i="1" s="1"/>
  <c r="O17" i="1" s="1"/>
  <c r="F21" i="3" s="1"/>
  <c r="BG17" i="1"/>
  <c r="BE17" i="1"/>
  <c r="AU17" i="1"/>
  <c r="AT17" i="1"/>
  <c r="AO17" i="1"/>
  <c r="AI17" i="1"/>
  <c r="AE17" i="1"/>
  <c r="AD17" i="1"/>
  <c r="K17" i="1"/>
  <c r="D20" i="2" s="1"/>
  <c r="H17" i="1"/>
  <c r="D21" i="3" s="1"/>
  <c r="BY16" i="1"/>
  <c r="BZ16" i="1" s="1"/>
  <c r="BW16" i="1"/>
  <c r="BS16" i="1"/>
  <c r="BQ16" i="1"/>
  <c r="BM16" i="1"/>
  <c r="BK16" i="1"/>
  <c r="BG16" i="1"/>
  <c r="BE16" i="1"/>
  <c r="AT16" i="1"/>
  <c r="AU16" i="1" s="1"/>
  <c r="AI16" i="1"/>
  <c r="AE16" i="1"/>
  <c r="K16" i="1"/>
  <c r="D19" i="2" s="1"/>
  <c r="H16" i="1"/>
  <c r="C19" i="2" s="1"/>
  <c r="BY15" i="1"/>
  <c r="BW15" i="1"/>
  <c r="BS15" i="1"/>
  <c r="BQ15" i="1"/>
  <c r="BT15" i="1" s="1"/>
  <c r="BM15" i="1"/>
  <c r="BN15" i="1" s="1"/>
  <c r="O15" i="1" s="1"/>
  <c r="F19" i="3" s="1"/>
  <c r="BK15" i="1"/>
  <c r="BG15" i="1"/>
  <c r="BE15" i="1"/>
  <c r="AT15" i="1"/>
  <c r="AU15" i="1" s="1"/>
  <c r="AL15" i="1"/>
  <c r="AO15" i="1" s="1"/>
  <c r="AI15" i="1"/>
  <c r="AD15" i="1"/>
  <c r="AE15" i="1" s="1"/>
  <c r="K15" i="1"/>
  <c r="D18" i="2" s="1"/>
  <c r="H15" i="1"/>
  <c r="B19" i="3"/>
  <c r="BY14" i="1"/>
  <c r="BW14" i="1"/>
  <c r="BZ14" i="1" s="1"/>
  <c r="BS14" i="1"/>
  <c r="BT14" i="1" s="1"/>
  <c r="BQ14" i="1"/>
  <c r="BM14" i="1"/>
  <c r="BK14" i="1"/>
  <c r="BN14" i="1" s="1"/>
  <c r="O14" i="1" s="1"/>
  <c r="F18" i="3" s="1"/>
  <c r="BG14" i="1"/>
  <c r="BE14" i="1"/>
  <c r="AU14" i="1"/>
  <c r="AT14" i="1"/>
  <c r="AM14" i="1"/>
  <c r="AP14" i="1" s="1"/>
  <c r="AL14" i="1"/>
  <c r="AO14" i="1" s="1"/>
  <c r="AI14" i="1"/>
  <c r="AE14" i="1"/>
  <c r="AD14" i="1"/>
  <c r="K14" i="1"/>
  <c r="D17" i="2" s="1"/>
  <c r="H14" i="1"/>
  <c r="D18" i="3" s="1"/>
  <c r="B18" i="3"/>
  <c r="BY13" i="1"/>
  <c r="BZ13" i="1" s="1"/>
  <c r="R13" i="1" s="1"/>
  <c r="H16" i="2" s="1"/>
  <c r="BW13" i="1"/>
  <c r="BS13" i="1"/>
  <c r="BQ13" i="1"/>
  <c r="BT13" i="1" s="1"/>
  <c r="BM13" i="1"/>
  <c r="BK13" i="1"/>
  <c r="BG13" i="1"/>
  <c r="BE13" i="1"/>
  <c r="AT13" i="1"/>
  <c r="AU13" i="1" s="1"/>
  <c r="AI13" i="1"/>
  <c r="AE13" i="1"/>
  <c r="B16" i="2"/>
  <c r="K13" i="1"/>
  <c r="D16" i="2" s="1"/>
  <c r="H13" i="1"/>
  <c r="BY12" i="1"/>
  <c r="BW12" i="1"/>
  <c r="BS12" i="1"/>
  <c r="BQ12" i="1"/>
  <c r="BT12" i="1" s="1"/>
  <c r="BN12" i="1"/>
  <c r="O12" i="1" s="1"/>
  <c r="F16" i="3" s="1"/>
  <c r="BM12" i="1"/>
  <c r="BK12" i="1"/>
  <c r="BG12" i="1"/>
  <c r="BE12" i="1"/>
  <c r="BH12" i="1" s="1"/>
  <c r="M16" i="3" s="1"/>
  <c r="AT12" i="1"/>
  <c r="AU12" i="1" s="1"/>
  <c r="AL12" i="1"/>
  <c r="AO12" i="1" s="1"/>
  <c r="AI12" i="1"/>
  <c r="AE12" i="1"/>
  <c r="K12" i="1"/>
  <c r="D15" i="2" s="1"/>
  <c r="H12" i="1"/>
  <c r="Z12" i="1" s="1"/>
  <c r="L16" i="3" s="1"/>
  <c r="B16" i="3"/>
  <c r="BY11" i="1"/>
  <c r="BW11" i="1"/>
  <c r="BS11" i="1"/>
  <c r="BT11" i="1" s="1"/>
  <c r="BQ11" i="1"/>
  <c r="BM11" i="1"/>
  <c r="BK11" i="1"/>
  <c r="BN11" i="1" s="1"/>
  <c r="O11" i="1" s="1"/>
  <c r="F15" i="3" s="1"/>
  <c r="BH11" i="1"/>
  <c r="M15" i="3" s="1"/>
  <c r="BG11" i="1"/>
  <c r="BE11" i="1"/>
  <c r="AU11" i="1"/>
  <c r="AT11" i="1"/>
  <c r="AO11" i="1"/>
  <c r="AI11" i="1"/>
  <c r="AE11" i="1"/>
  <c r="Y11" i="1"/>
  <c r="K15" i="3" s="1"/>
  <c r="K11" i="1"/>
  <c r="D14" i="2" s="1"/>
  <c r="H11" i="1"/>
  <c r="BZ10" i="1"/>
  <c r="CB10" i="1" s="1"/>
  <c r="BY10" i="1"/>
  <c r="BW10" i="1"/>
  <c r="BS10" i="1"/>
  <c r="BQ10" i="1"/>
  <c r="BM10" i="1"/>
  <c r="BK10" i="1"/>
  <c r="BG10" i="1"/>
  <c r="BE10" i="1"/>
  <c r="BH10" i="1" s="1"/>
  <c r="M14" i="3" s="1"/>
  <c r="AU10" i="1"/>
  <c r="AT10" i="1"/>
  <c r="AI10" i="1"/>
  <c r="AD10" i="1"/>
  <c r="AE10" i="1" s="1"/>
  <c r="Y10" i="1"/>
  <c r="AO10" i="1" s="1"/>
  <c r="K10" i="1"/>
  <c r="D13" i="2" s="1"/>
  <c r="H10" i="1"/>
  <c r="D14" i="3" s="1"/>
  <c r="BY9" i="1"/>
  <c r="BW9" i="1"/>
  <c r="BS9" i="1"/>
  <c r="BQ9" i="1"/>
  <c r="BM9" i="1"/>
  <c r="BK9" i="1"/>
  <c r="BN9" i="1" s="1"/>
  <c r="BG9" i="1"/>
  <c r="BE9" i="1"/>
  <c r="AT9" i="1"/>
  <c r="AU9" i="1" s="1"/>
  <c r="AL9" i="1"/>
  <c r="AO9" i="1" s="1"/>
  <c r="AK9" i="1"/>
  <c r="AI9" i="1"/>
  <c r="AE9" i="1"/>
  <c r="AD9" i="1"/>
  <c r="Z9" i="1"/>
  <c r="L13" i="3" s="1"/>
  <c r="Y9" i="1"/>
  <c r="K13" i="3" s="1"/>
  <c r="O9" i="1"/>
  <c r="F13" i="3" s="1"/>
  <c r="K9" i="1"/>
  <c r="D12" i="2" s="1"/>
  <c r="H9" i="1"/>
  <c r="D13" i="3" s="1"/>
  <c r="B13" i="3"/>
  <c r="BY8" i="1"/>
  <c r="BW8" i="1"/>
  <c r="BZ8" i="1" s="1"/>
  <c r="R8" i="1" s="1"/>
  <c r="H11" i="2" s="1"/>
  <c r="BS8" i="1"/>
  <c r="BQ8" i="1"/>
  <c r="BT8" i="1" s="1"/>
  <c r="BM8" i="1"/>
  <c r="BK8" i="1"/>
  <c r="BN8" i="1" s="1"/>
  <c r="O8" i="1" s="1"/>
  <c r="F12" i="3" s="1"/>
  <c r="BG8" i="1"/>
  <c r="BH8" i="1" s="1"/>
  <c r="M12" i="3" s="1"/>
  <c r="BE8" i="1"/>
  <c r="AT8" i="1"/>
  <c r="AU8" i="1" s="1"/>
  <c r="AO8" i="1"/>
  <c r="AI8" i="1"/>
  <c r="AE8" i="1"/>
  <c r="Y8" i="1"/>
  <c r="K12" i="3" s="1"/>
  <c r="K8" i="1"/>
  <c r="D11" i="2" s="1"/>
  <c r="H8" i="1"/>
  <c r="D12" i="3" s="1"/>
  <c r="BY7" i="1"/>
  <c r="BZ7" i="1" s="1"/>
  <c r="BW7" i="1"/>
  <c r="BS7" i="1"/>
  <c r="BQ7" i="1"/>
  <c r="BM7" i="1"/>
  <c r="BK7" i="1"/>
  <c r="BG7" i="1"/>
  <c r="BE7" i="1"/>
  <c r="AT7" i="1"/>
  <c r="AU7" i="1" s="1"/>
  <c r="AI7" i="1"/>
  <c r="AD7" i="1"/>
  <c r="Z7" i="1"/>
  <c r="L11" i="3" s="1"/>
  <c r="Y7" i="1"/>
  <c r="K11" i="3" s="1"/>
  <c r="K7" i="1"/>
  <c r="D10" i="2" s="1"/>
  <c r="H7" i="1"/>
  <c r="AM7" i="1" s="1"/>
  <c r="B11" i="3"/>
  <c r="BY6" i="1"/>
  <c r="BW6" i="1"/>
  <c r="BS6" i="1"/>
  <c r="BQ6" i="1"/>
  <c r="BN6" i="1"/>
  <c r="O6" i="1" s="1"/>
  <c r="F10" i="3" s="1"/>
  <c r="BM6" i="1"/>
  <c r="BK6" i="1"/>
  <c r="BG6" i="1"/>
  <c r="BH6" i="1" s="1"/>
  <c r="M10" i="3" s="1"/>
  <c r="BE6" i="1"/>
  <c r="AT6" i="1"/>
  <c r="AU6" i="1" s="1"/>
  <c r="AO6" i="1"/>
  <c r="AI6" i="1"/>
  <c r="AD6" i="1"/>
  <c r="AD35" i="1" s="1"/>
  <c r="Y6" i="1"/>
  <c r="K6" i="1"/>
  <c r="D9" i="2" s="1"/>
  <c r="H6" i="1"/>
  <c r="D10" i="3" s="1"/>
  <c r="BY5" i="1"/>
  <c r="BW5" i="1"/>
  <c r="BT5" i="1"/>
  <c r="BS5" i="1"/>
  <c r="BQ5" i="1"/>
  <c r="BM5" i="1"/>
  <c r="BN5" i="1" s="1"/>
  <c r="O5" i="1" s="1"/>
  <c r="F9" i="3" s="1"/>
  <c r="BK5" i="1"/>
  <c r="BG5" i="1"/>
  <c r="BE5" i="1"/>
  <c r="BH5" i="1" s="1"/>
  <c r="M9" i="3" s="1"/>
  <c r="AU5" i="1"/>
  <c r="AT5" i="1"/>
  <c r="AO5" i="1"/>
  <c r="AI5" i="1"/>
  <c r="AE5" i="1"/>
  <c r="Y5" i="1"/>
  <c r="K9" i="3" s="1"/>
  <c r="K5" i="1"/>
  <c r="D8" i="2" s="1"/>
  <c r="H5" i="1"/>
  <c r="AP5" i="1" s="1"/>
  <c r="BZ4" i="1"/>
  <c r="BW4" i="1"/>
  <c r="BS4" i="1"/>
  <c r="BQ4" i="1"/>
  <c r="BT4" i="1" s="1"/>
  <c r="BM4" i="1"/>
  <c r="BK4" i="1"/>
  <c r="BG4" i="1"/>
  <c r="BE4" i="1"/>
  <c r="BH4" i="1" s="1"/>
  <c r="M8" i="3" s="1"/>
  <c r="AT4" i="1"/>
  <c r="AU4" i="1" s="1"/>
  <c r="AO4" i="1"/>
  <c r="AI4" i="1"/>
  <c r="AE4" i="1"/>
  <c r="Y4" i="1"/>
  <c r="K4" i="1"/>
  <c r="H4" i="1"/>
  <c r="C8" i="3"/>
  <c r="B8" i="3"/>
  <c r="R7" i="1" l="1"/>
  <c r="H10" i="2" s="1"/>
  <c r="CB7" i="1"/>
  <c r="BZ17" i="1"/>
  <c r="R17" i="1" s="1"/>
  <c r="H20" i="2" s="1"/>
  <c r="BZ30" i="1"/>
  <c r="BZ9" i="1"/>
  <c r="BZ25" i="1"/>
  <c r="CB25" i="1" s="1"/>
  <c r="BZ12" i="1"/>
  <c r="BZ15" i="1"/>
  <c r="CB15" i="1" s="1"/>
  <c r="BZ29" i="1"/>
  <c r="BZ32" i="1"/>
  <c r="R32" i="1" s="1"/>
  <c r="H35" i="2" s="1"/>
  <c r="BZ5" i="1"/>
  <c r="CB5" i="1" s="1"/>
  <c r="BZ6" i="1"/>
  <c r="CB6" i="1" s="1"/>
  <c r="CB31" i="1"/>
  <c r="R31" i="1"/>
  <c r="H34" i="2" s="1"/>
  <c r="R25" i="1"/>
  <c r="H28" i="2" s="1"/>
  <c r="R15" i="1"/>
  <c r="H18" i="2" s="1"/>
  <c r="R28" i="1"/>
  <c r="H31" i="2" s="1"/>
  <c r="CB17" i="1"/>
  <c r="CB18" i="1"/>
  <c r="BT6" i="1"/>
  <c r="BT7" i="1"/>
  <c r="BT17" i="1"/>
  <c r="BT18" i="1"/>
  <c r="BT19" i="1"/>
  <c r="BT28" i="1"/>
  <c r="BT33" i="1"/>
  <c r="BT24" i="1"/>
  <c r="BT32" i="1"/>
  <c r="BT10" i="1"/>
  <c r="BT26" i="1"/>
  <c r="BT16" i="1"/>
  <c r="BN10" i="1"/>
  <c r="O10" i="1" s="1"/>
  <c r="F14" i="3" s="1"/>
  <c r="BN27" i="1"/>
  <c r="O27" i="1" s="1"/>
  <c r="F31" i="3" s="1"/>
  <c r="BN4" i="1"/>
  <c r="O4" i="1" s="1"/>
  <c r="BN26" i="1"/>
  <c r="O26" i="1" s="1"/>
  <c r="F30" i="3" s="1"/>
  <c r="BN7" i="1"/>
  <c r="O7" i="1" s="1"/>
  <c r="F11" i="3" s="1"/>
  <c r="BN16" i="1"/>
  <c r="O16" i="1" s="1"/>
  <c r="F20" i="3" s="1"/>
  <c r="BN31" i="1"/>
  <c r="O31" i="1" s="1"/>
  <c r="F35" i="3" s="1"/>
  <c r="BN32" i="1"/>
  <c r="O32" i="1" s="1"/>
  <c r="F36" i="3" s="1"/>
  <c r="J22" i="3"/>
  <c r="L25" i="1"/>
  <c r="E29" i="3" s="1"/>
  <c r="BH7" i="1"/>
  <c r="M11" i="3" s="1"/>
  <c r="BH13" i="1"/>
  <c r="M17" i="3" s="1"/>
  <c r="BH24" i="1"/>
  <c r="M28" i="3" s="1"/>
  <c r="BH16" i="1"/>
  <c r="M20" i="3" s="1"/>
  <c r="BH14" i="1"/>
  <c r="M18" i="3" s="1"/>
  <c r="BH20" i="1"/>
  <c r="M24" i="3" s="1"/>
  <c r="BH31" i="1"/>
  <c r="M35" i="3" s="1"/>
  <c r="BH15" i="1"/>
  <c r="M19" i="3" s="1"/>
  <c r="BH17" i="1"/>
  <c r="M21" i="3" s="1"/>
  <c r="BH18" i="1"/>
  <c r="M22" i="3" s="1"/>
  <c r="BH21" i="1"/>
  <c r="M25" i="3" s="1"/>
  <c r="BH22" i="1"/>
  <c r="M26" i="3" s="1"/>
  <c r="BH30" i="1"/>
  <c r="M34" i="3" s="1"/>
  <c r="L9" i="1"/>
  <c r="E13" i="3" s="1"/>
  <c r="BH28" i="1"/>
  <c r="M32" i="3" s="1"/>
  <c r="BH29" i="1"/>
  <c r="M33" i="3" s="1"/>
  <c r="AM9" i="1"/>
  <c r="AP9" i="1" s="1"/>
  <c r="K23" i="3"/>
  <c r="K14" i="3"/>
  <c r="L28" i="1"/>
  <c r="E32" i="3" s="1"/>
  <c r="J24" i="3"/>
  <c r="D9" i="3"/>
  <c r="AM33" i="1"/>
  <c r="D32" i="3"/>
  <c r="AK33" i="1"/>
  <c r="D22" i="3"/>
  <c r="L31" i="1"/>
  <c r="E35" i="3" s="1"/>
  <c r="AK14" i="1"/>
  <c r="D37" i="3"/>
  <c r="AM29" i="1"/>
  <c r="D36" i="3"/>
  <c r="B39" i="3"/>
  <c r="AP30" i="1"/>
  <c r="AP8" i="1"/>
  <c r="C39" i="3"/>
  <c r="BZ34" i="1"/>
  <c r="CB34" i="1" s="1"/>
  <c r="AK29" i="1"/>
  <c r="B22" i="2"/>
  <c r="AO27" i="1"/>
  <c r="AL29" i="1"/>
  <c r="AO29" i="1" s="1"/>
  <c r="B30" i="2"/>
  <c r="AK19" i="1"/>
  <c r="AL33" i="1"/>
  <c r="AO33" i="1" s="1"/>
  <c r="AP26" i="1"/>
  <c r="BZ33" i="1"/>
  <c r="R33" i="1" s="1"/>
  <c r="H36" i="2" s="1"/>
  <c r="BN33" i="1"/>
  <c r="O33" i="1" s="1"/>
  <c r="BN34" i="1"/>
  <c r="O34" i="1" s="1"/>
  <c r="F38" i="3" s="1"/>
  <c r="BH33" i="1"/>
  <c r="M37" i="3" s="1"/>
  <c r="BH34" i="1"/>
  <c r="M38" i="3" s="1"/>
  <c r="BH32" i="1"/>
  <c r="M36" i="3" s="1"/>
  <c r="L19" i="1"/>
  <c r="E23" i="3" s="1"/>
  <c r="L6" i="1"/>
  <c r="E10" i="3" s="1"/>
  <c r="L20" i="1"/>
  <c r="E24" i="3" s="1"/>
  <c r="L23" i="1"/>
  <c r="L15" i="1"/>
  <c r="AP4" i="1"/>
  <c r="G8" i="2"/>
  <c r="S7" i="1"/>
  <c r="G11" i="3" s="1"/>
  <c r="G10" i="2"/>
  <c r="R4" i="1"/>
  <c r="CB4" i="1"/>
  <c r="G14" i="2"/>
  <c r="G17" i="2"/>
  <c r="S14" i="1"/>
  <c r="G18" i="3" s="1"/>
  <c r="G21" i="2"/>
  <c r="S18" i="1"/>
  <c r="G22" i="3" s="1"/>
  <c r="G7" i="2"/>
  <c r="F8" i="3"/>
  <c r="G8" i="3"/>
  <c r="G39" i="3" s="1"/>
  <c r="R5" i="1"/>
  <c r="H8" i="2" s="1"/>
  <c r="CB9" i="1"/>
  <c r="R9" i="1"/>
  <c r="H12" i="2" s="1"/>
  <c r="CB14" i="1"/>
  <c r="R14" i="1"/>
  <c r="H17" i="2" s="1"/>
  <c r="C15" i="2"/>
  <c r="AM12" i="1"/>
  <c r="AP12" i="1" s="1"/>
  <c r="AK12" i="1"/>
  <c r="L12" i="1"/>
  <c r="E16" i="3" s="1"/>
  <c r="B21" i="2"/>
  <c r="AL18" i="1"/>
  <c r="AO18" i="1" s="1"/>
  <c r="G23" i="2"/>
  <c r="CB24" i="1"/>
  <c r="R24" i="1"/>
  <c r="H27" i="2" s="1"/>
  <c r="AE6" i="1"/>
  <c r="E11" i="2"/>
  <c r="S15" i="1"/>
  <c r="G19" i="3" s="1"/>
  <c r="G18" i="2"/>
  <c r="BN19" i="1"/>
  <c r="O19" i="1" s="1"/>
  <c r="F23" i="3" s="1"/>
  <c r="BT20" i="1"/>
  <c r="R23" i="1"/>
  <c r="H26" i="2" s="1"/>
  <c r="CB23" i="1"/>
  <c r="E30" i="2"/>
  <c r="L27" i="1"/>
  <c r="E31" i="3" s="1"/>
  <c r="G31" i="2"/>
  <c r="G32" i="2"/>
  <c r="S29" i="1"/>
  <c r="G33" i="3" s="1"/>
  <c r="E10" i="2"/>
  <c r="J8" i="3"/>
  <c r="U35" i="1"/>
  <c r="E7" i="2"/>
  <c r="G9" i="2"/>
  <c r="G12" i="2"/>
  <c r="C13" i="2"/>
  <c r="G15" i="2"/>
  <c r="G20" i="2"/>
  <c r="B24" i="2"/>
  <c r="AL21" i="1"/>
  <c r="AO21" i="1" s="1"/>
  <c r="CB21" i="1"/>
  <c r="G27" i="2"/>
  <c r="CB27" i="1"/>
  <c r="R27" i="1"/>
  <c r="H30" i="2" s="1"/>
  <c r="D8" i="3"/>
  <c r="H35" i="1"/>
  <c r="Z35" i="1" s="1"/>
  <c r="L40" i="3" s="1"/>
  <c r="C7" i="2"/>
  <c r="K8" i="3"/>
  <c r="B7" i="2"/>
  <c r="Y35" i="1"/>
  <c r="AL35" i="1" s="1"/>
  <c r="AO35" i="1" s="1"/>
  <c r="E8" i="2"/>
  <c r="R6" i="1"/>
  <c r="H9" i="2" s="1"/>
  <c r="S9" i="1"/>
  <c r="G13" i="3" s="1"/>
  <c r="BT9" i="1"/>
  <c r="B14" i="2"/>
  <c r="BZ11" i="1"/>
  <c r="S12" i="1"/>
  <c r="G16" i="3" s="1"/>
  <c r="E20" i="2"/>
  <c r="C21" i="2"/>
  <c r="AM18" i="1"/>
  <c r="AP18" i="1" s="1"/>
  <c r="L18" i="1"/>
  <c r="E22" i="3" s="1"/>
  <c r="R20" i="1"/>
  <c r="H23" i="2" s="1"/>
  <c r="CB20" i="1"/>
  <c r="G25" i="2"/>
  <c r="R26" i="1"/>
  <c r="H29" i="2" s="1"/>
  <c r="CB26" i="1"/>
  <c r="E33" i="2"/>
  <c r="L30" i="1"/>
  <c r="E34" i="3" s="1"/>
  <c r="E12" i="2"/>
  <c r="L10" i="1"/>
  <c r="E14" i="3" s="1"/>
  <c r="AK18" i="1"/>
  <c r="L4" i="1"/>
  <c r="AE35" i="1"/>
  <c r="L5" i="1"/>
  <c r="E9" i="3" s="1"/>
  <c r="C8" i="2"/>
  <c r="R10" i="1"/>
  <c r="H13" i="2" s="1"/>
  <c r="G13" i="2"/>
  <c r="L11" i="1"/>
  <c r="E15" i="3" s="1"/>
  <c r="AP11" i="1"/>
  <c r="C14" i="2"/>
  <c r="B15" i="2"/>
  <c r="CB12" i="1"/>
  <c r="R12" i="1"/>
  <c r="H15" i="2" s="1"/>
  <c r="E16" i="2"/>
  <c r="R16" i="1"/>
  <c r="H19" i="2" s="1"/>
  <c r="CB16" i="1"/>
  <c r="CB19" i="1"/>
  <c r="R19" i="1"/>
  <c r="H22" i="2" s="1"/>
  <c r="AP22" i="1"/>
  <c r="G26" i="2"/>
  <c r="R29" i="1"/>
  <c r="H32" i="2" s="1"/>
  <c r="CB29" i="1"/>
  <c r="AP10" i="1"/>
  <c r="G24" i="2"/>
  <c r="S21" i="1"/>
  <c r="G25" i="3" s="1"/>
  <c r="G11" i="2"/>
  <c r="E13" i="2"/>
  <c r="E17" i="2"/>
  <c r="CB22" i="1"/>
  <c r="R22" i="1"/>
  <c r="H25" i="2" s="1"/>
  <c r="AP24" i="1"/>
  <c r="G33" i="2"/>
  <c r="AP32" i="1"/>
  <c r="D7" i="2"/>
  <c r="D38" i="2" s="1"/>
  <c r="K35" i="1"/>
  <c r="L8" i="3"/>
  <c r="L39" i="3" s="1"/>
  <c r="Z36" i="1"/>
  <c r="B8" i="2"/>
  <c r="AK7" i="1"/>
  <c r="L7" i="1"/>
  <c r="E11" i="3" s="1"/>
  <c r="C10" i="2"/>
  <c r="CB8" i="1"/>
  <c r="G30" i="2"/>
  <c r="CB30" i="1"/>
  <c r="R30" i="1"/>
  <c r="H33" i="2" s="1"/>
  <c r="C9" i="2"/>
  <c r="AP6" i="1"/>
  <c r="BH9" i="1"/>
  <c r="M13" i="3" s="1"/>
  <c r="B13" i="2"/>
  <c r="BN13" i="1"/>
  <c r="O13" i="1" s="1"/>
  <c r="F17" i="3" s="1"/>
  <c r="CB13" i="1"/>
  <c r="BH19" i="1"/>
  <c r="M23" i="3" s="1"/>
  <c r="L21" i="1"/>
  <c r="E25" i="3" s="1"/>
  <c r="C24" i="2"/>
  <c r="AM21" i="1"/>
  <c r="AK21" i="1"/>
  <c r="L24" i="1"/>
  <c r="E28" i="3" s="1"/>
  <c r="E27" i="2"/>
  <c r="G28" i="2"/>
  <c r="S25" i="1"/>
  <c r="G29" i="3" s="1"/>
  <c r="G29" i="2"/>
  <c r="AP20" i="1"/>
  <c r="AO23" i="1"/>
  <c r="B28" i="2"/>
  <c r="C31" i="2"/>
  <c r="B31" i="2"/>
  <c r="C34" i="2"/>
  <c r="C37" i="2"/>
  <c r="B37" i="2"/>
  <c r="AM38" i="1"/>
  <c r="AN38" i="1" s="1"/>
  <c r="C18" i="2"/>
  <c r="C22" i="2"/>
  <c r="C26" i="2"/>
  <c r="B19" i="2"/>
  <c r="L22" i="1"/>
  <c r="E26" i="3" s="1"/>
  <c r="E14" i="2"/>
  <c r="E18" i="2"/>
  <c r="E22" i="2"/>
  <c r="E26" i="2"/>
  <c r="B23" i="2"/>
  <c r="E29" i="2"/>
  <c r="E32" i="2"/>
  <c r="E35" i="2"/>
  <c r="L34" i="1"/>
  <c r="E38" i="3" s="1"/>
  <c r="E9" i="2"/>
  <c r="E25" i="2"/>
  <c r="C28" i="2"/>
  <c r="I39" i="3"/>
  <c r="I40" i="3"/>
  <c r="B11" i="2"/>
  <c r="L13" i="1"/>
  <c r="E17" i="3" s="1"/>
  <c r="C17" i="2"/>
  <c r="B17" i="2"/>
  <c r="AK15" i="1"/>
  <c r="L16" i="1"/>
  <c r="E20" i="3" s="1"/>
  <c r="B20" i="2"/>
  <c r="AP17" i="1"/>
  <c r="E24" i="2"/>
  <c r="C29" i="2"/>
  <c r="B32" i="2"/>
  <c r="B35" i="2"/>
  <c r="C12" i="2"/>
  <c r="C16" i="2"/>
  <c r="C20" i="2"/>
  <c r="E36" i="2"/>
  <c r="AO34" i="1"/>
  <c r="B40" i="3"/>
  <c r="L8" i="1"/>
  <c r="E12" i="3" s="1"/>
  <c r="B12" i="2"/>
  <c r="L14" i="1"/>
  <c r="E18" i="3" s="1"/>
  <c r="AM15" i="1"/>
  <c r="AP15" i="1" s="1"/>
  <c r="L17" i="1"/>
  <c r="E21" i="3" s="1"/>
  <c r="B27" i="2"/>
  <c r="AK25" i="1"/>
  <c r="L26" i="1"/>
  <c r="E30" i="3" s="1"/>
  <c r="C30" i="2"/>
  <c r="L29" i="1"/>
  <c r="E33" i="3" s="1"/>
  <c r="C33" i="2"/>
  <c r="B33" i="2"/>
  <c r="L32" i="1"/>
  <c r="E36" i="3" s="1"/>
  <c r="C36" i="2"/>
  <c r="B36" i="2"/>
  <c r="C11" i="2"/>
  <c r="C23" i="2"/>
  <c r="C27" i="2"/>
  <c r="B34" i="2"/>
  <c r="B9" i="2"/>
  <c r="AL7" i="1"/>
  <c r="AO7" i="1" s="1"/>
  <c r="AP7" i="1" s="1"/>
  <c r="AO13" i="1"/>
  <c r="AP13" i="1" s="1"/>
  <c r="AO16" i="1"/>
  <c r="AP16" i="1" s="1"/>
  <c r="AM19" i="1"/>
  <c r="AP19" i="1" s="1"/>
  <c r="AL25" i="1"/>
  <c r="AO25" i="1" s="1"/>
  <c r="AP25" i="1" s="1"/>
  <c r="AO28" i="1"/>
  <c r="AP28" i="1" s="1"/>
  <c r="AO31" i="1"/>
  <c r="AP31" i="1" s="1"/>
  <c r="F43" i="1"/>
  <c r="E15" i="2"/>
  <c r="E19" i="2"/>
  <c r="C25" i="2"/>
  <c r="B25" i="2"/>
  <c r="E28" i="2"/>
  <c r="E31" i="2"/>
  <c r="E34" i="2"/>
  <c r="L33" i="1"/>
  <c r="E37" i="3" s="1"/>
  <c r="E37" i="2"/>
  <c r="B10" i="2"/>
  <c r="B18" i="2"/>
  <c r="CB32" i="1" l="1"/>
  <c r="CB33" i="1"/>
  <c r="G34" i="2"/>
  <c r="G35" i="2"/>
  <c r="G19" i="2"/>
  <c r="T25" i="1"/>
  <c r="H29" i="3" s="1"/>
  <c r="N29" i="3" s="1"/>
  <c r="F28" i="2"/>
  <c r="S33" i="1"/>
  <c r="G37" i="3" s="1"/>
  <c r="F37" i="3"/>
  <c r="F39" i="3" s="1"/>
  <c r="T9" i="1"/>
  <c r="H13" i="3" s="1"/>
  <c r="N13" i="3" s="1"/>
  <c r="F12" i="2"/>
  <c r="M39" i="3"/>
  <c r="T28" i="1"/>
  <c r="H32" i="3" s="1"/>
  <c r="N32" i="3" s="1"/>
  <c r="F31" i="2"/>
  <c r="F34" i="2"/>
  <c r="T31" i="1"/>
  <c r="H35" i="3" s="1"/>
  <c r="N35" i="3" s="1"/>
  <c r="T23" i="1"/>
  <c r="H27" i="3" s="1"/>
  <c r="N27" i="3" s="1"/>
  <c r="E27" i="3"/>
  <c r="AP33" i="1"/>
  <c r="AP29" i="1"/>
  <c r="T15" i="1"/>
  <c r="H19" i="3" s="1"/>
  <c r="N19" i="3" s="1"/>
  <c r="E19" i="3"/>
  <c r="AP23" i="1"/>
  <c r="R34" i="1"/>
  <c r="H37" i="2" s="1"/>
  <c r="AP27" i="1"/>
  <c r="G37" i="2"/>
  <c r="G36" i="2"/>
  <c r="O35" i="1"/>
  <c r="F26" i="2"/>
  <c r="F23" i="2"/>
  <c r="T20" i="1"/>
  <c r="H24" i="3" s="1"/>
  <c r="N24" i="3" s="1"/>
  <c r="T6" i="1"/>
  <c r="T19" i="1"/>
  <c r="F22" i="2"/>
  <c r="F18" i="2"/>
  <c r="F9" i="2"/>
  <c r="AP34" i="1"/>
  <c r="F16" i="2"/>
  <c r="T13" i="1"/>
  <c r="H17" i="3" s="1"/>
  <c r="N17" i="3" s="1"/>
  <c r="F37" i="2"/>
  <c r="T34" i="1"/>
  <c r="H38" i="3" s="1"/>
  <c r="N38" i="3" s="1"/>
  <c r="AP21" i="1"/>
  <c r="AF36" i="1"/>
  <c r="C38" i="2"/>
  <c r="F15" i="2"/>
  <c r="T12" i="1"/>
  <c r="H16" i="3" s="1"/>
  <c r="N16" i="3" s="1"/>
  <c r="AM35" i="1"/>
  <c r="AP35" i="1" s="1"/>
  <c r="AK35" i="1"/>
  <c r="D40" i="3"/>
  <c r="D39" i="3"/>
  <c r="F10" i="2"/>
  <c r="T7" i="1"/>
  <c r="H11" i="3" s="1"/>
  <c r="N11" i="3" s="1"/>
  <c r="F7" i="2"/>
  <c r="E8" i="3"/>
  <c r="L35" i="1"/>
  <c r="T4" i="1"/>
  <c r="G22" i="2"/>
  <c r="S19" i="1"/>
  <c r="G23" i="3" s="1"/>
  <c r="F27" i="2"/>
  <c r="T24" i="1"/>
  <c r="H28" i="3" s="1"/>
  <c r="N28" i="3" s="1"/>
  <c r="F13" i="2"/>
  <c r="T10" i="1"/>
  <c r="H14" i="3" s="1"/>
  <c r="N14" i="3" s="1"/>
  <c r="F17" i="2"/>
  <c r="T14" i="1"/>
  <c r="H18" i="3" s="1"/>
  <c r="N18" i="3" s="1"/>
  <c r="F14" i="2"/>
  <c r="T11" i="1"/>
  <c r="H15" i="3" s="1"/>
  <c r="N15" i="3" s="1"/>
  <c r="G16" i="2"/>
  <c r="F19" i="2"/>
  <c r="T16" i="1"/>
  <c r="H20" i="3" s="1"/>
  <c r="N20" i="3" s="1"/>
  <c r="F21" i="2"/>
  <c r="T18" i="1"/>
  <c r="H22" i="3" s="1"/>
  <c r="N22" i="3" s="1"/>
  <c r="CB11" i="1"/>
  <c r="R11" i="1"/>
  <c r="H14" i="2" s="1"/>
  <c r="M40" i="3"/>
  <c r="F8" i="2"/>
  <c r="T5" i="1"/>
  <c r="H9" i="3" s="1"/>
  <c r="N9" i="3" s="1"/>
  <c r="F36" i="2"/>
  <c r="T33" i="1"/>
  <c r="H37" i="3" s="1"/>
  <c r="N37" i="3" s="1"/>
  <c r="F11" i="2"/>
  <c r="T8" i="1"/>
  <c r="H12" i="3" s="1"/>
  <c r="N12" i="3" s="1"/>
  <c r="F32" i="2"/>
  <c r="T29" i="1"/>
  <c r="H33" i="3" s="1"/>
  <c r="N33" i="3" s="1"/>
  <c r="F20" i="2"/>
  <c r="T17" i="1"/>
  <c r="H21" i="3" s="1"/>
  <c r="N21" i="3" s="1"/>
  <c r="F25" i="2"/>
  <c r="T22" i="1"/>
  <c r="H26" i="3" s="1"/>
  <c r="N26" i="3" s="1"/>
  <c r="F24" i="2"/>
  <c r="T21" i="1"/>
  <c r="H25" i="3" s="1"/>
  <c r="N25" i="3" s="1"/>
  <c r="F33" i="2"/>
  <c r="T30" i="1"/>
  <c r="H34" i="3" s="1"/>
  <c r="N34" i="3" s="1"/>
  <c r="B38" i="2"/>
  <c r="E38" i="2"/>
  <c r="F30" i="2"/>
  <c r="T27" i="1"/>
  <c r="H31" i="3" s="1"/>
  <c r="N31" i="3" s="1"/>
  <c r="H7" i="2"/>
  <c r="F35" i="2"/>
  <c r="T32" i="1"/>
  <c r="H36" i="3" s="1"/>
  <c r="N36" i="3" s="1"/>
  <c r="J40" i="3"/>
  <c r="J39" i="3"/>
  <c r="S35" i="1"/>
  <c r="G40" i="3" s="1"/>
  <c r="F29" i="2"/>
  <c r="T26" i="1"/>
  <c r="H30" i="3" s="1"/>
  <c r="N30" i="3" s="1"/>
  <c r="K40" i="3"/>
  <c r="K39" i="3"/>
  <c r="H38" i="2" l="1"/>
  <c r="R35" i="1"/>
  <c r="I28" i="2"/>
  <c r="I12" i="2"/>
  <c r="F40" i="3"/>
  <c r="I26" i="2"/>
  <c r="I34" i="2"/>
  <c r="I31" i="2"/>
  <c r="I18" i="2"/>
  <c r="I22" i="2"/>
  <c r="H23" i="3"/>
  <c r="N23" i="3" s="1"/>
  <c r="I9" i="2"/>
  <c r="H10" i="3"/>
  <c r="N10" i="3" s="1"/>
  <c r="G38" i="2"/>
  <c r="I23" i="2"/>
  <c r="I20" i="2"/>
  <c r="I27" i="2"/>
  <c r="I36" i="2"/>
  <c r="I30" i="2"/>
  <c r="I24" i="2"/>
  <c r="I32" i="2"/>
  <c r="I21" i="2"/>
  <c r="I13" i="2"/>
  <c r="I16" i="2"/>
  <c r="I17" i="2"/>
  <c r="I35" i="2"/>
  <c r="I10" i="2"/>
  <c r="I33" i="2"/>
  <c r="I19" i="2"/>
  <c r="I15" i="2"/>
  <c r="F38" i="2"/>
  <c r="I25" i="2"/>
  <c r="I8" i="2"/>
  <c r="I14" i="2"/>
  <c r="E40" i="3"/>
  <c r="E39" i="3"/>
  <c r="I37" i="2"/>
  <c r="I29" i="2"/>
  <c r="I11" i="2"/>
  <c r="H8" i="3"/>
  <c r="T35" i="1"/>
  <c r="I7" i="2"/>
  <c r="H39" i="3" l="1"/>
  <c r="I38" i="2"/>
  <c r="H40" i="3"/>
  <c r="N8" i="3"/>
  <c r="N39" i="3" s="1"/>
  <c r="N40" i="3" l="1"/>
</calcChain>
</file>

<file path=xl/sharedStrings.xml><?xml version="1.0" encoding="utf-8"?>
<sst xmlns="http://schemas.openxmlformats.org/spreadsheetml/2006/main" count="182" uniqueCount="141">
  <si>
    <t>Ημερομηνία</t>
  </si>
  <si>
    <t>Ώρες Λειτουργίας</t>
  </si>
  <si>
    <t>Μέση Τιμή Χρήσης</t>
  </si>
  <si>
    <t>Παραγόμενη Ηλεκτρική Ενέργεια</t>
  </si>
  <si>
    <t>Παραγόμενη Άεργος Ενέργεια</t>
  </si>
  <si>
    <t>Τελική Παραγόμενη Ηλεκτρική Ενέργεια (MWh)</t>
  </si>
  <si>
    <t>Εξαγόμενη Ηλεκτρική Ενέργεια προς ΔΕΗ</t>
  </si>
  <si>
    <t>Εξαγόμενη Άεργος Ενέργεια προς ΔΕΗ</t>
  </si>
  <si>
    <t>Εξαγόμενη προς Παραγόμενη Ενέργεια (%)</t>
  </si>
  <si>
    <t>Ιδιοκατανάλωση LNG Terminal (MWh)</t>
  </si>
  <si>
    <t>Ιδιοκατανάλωση Power Plant (MWh)</t>
  </si>
  <si>
    <t>Κατανάλωση Αερίου</t>
  </si>
  <si>
    <t>Κατανάλωση Λαδιού</t>
  </si>
  <si>
    <t>Εναλλαγή  Θερμικής Ενέργειας στους SCV</t>
  </si>
  <si>
    <t xml:space="preserve">Βαθμός Απόδοσης </t>
  </si>
  <si>
    <t>Μετρητής ΔΕΗ +</t>
  </si>
  <si>
    <t>Κατανάλωση Ηλεκτρικής Ενέργειας</t>
  </si>
  <si>
    <t>Μετρητής ΔΕΗ -</t>
  </si>
  <si>
    <t>GE1(h)</t>
  </si>
  <si>
    <t>GE2 (h)</t>
  </si>
  <si>
    <t>GE1(%)</t>
  </si>
  <si>
    <t>GE2 (%)</t>
  </si>
  <si>
    <t>GE1 (MWh)</t>
  </si>
  <si>
    <t>GE2 (MWh)</t>
  </si>
  <si>
    <t>GE1+GE2 (MWh)</t>
  </si>
  <si>
    <t>GE1 (MVarh)</t>
  </si>
  <si>
    <t>GE2 (MVarh)</t>
  </si>
  <si>
    <t>GE1+GE2 (MVarh)</t>
  </si>
  <si>
    <t>PPC1 (MWh)</t>
  </si>
  <si>
    <t>PPC2 (MWh)</t>
  </si>
  <si>
    <t>PPC1+PPC2 (MWh)</t>
  </si>
  <si>
    <t>PPC1 (MVarh)</t>
  </si>
  <si>
    <t>PPC2 (MVarh)</t>
  </si>
  <si>
    <t>PPC1+PPC2 (MVarh)</t>
  </si>
  <si>
    <t>Ιδιοκατ. Power Plant από ΔΕΗ (MWh)</t>
  </si>
  <si>
    <t>(MJ)</t>
  </si>
  <si>
    <t>(MWh)</t>
  </si>
  <si>
    <t>ΕΚΚ (KJ/KWh)</t>
  </si>
  <si>
    <t>Στάθμη Δεξαμενής (%)</t>
  </si>
  <si>
    <t>Στάθμη Δεξαμενής (lt)</t>
  </si>
  <si>
    <t>Αναπλήρωση Λαδιού (lt)</t>
  </si>
  <si>
    <t>Κατανάλωση Λαδιού (lt)</t>
  </si>
  <si>
    <t>Κατανάλωση Λαδιού (kg)</t>
  </si>
  <si>
    <t>ΕΚΛ (kg/MWh)</t>
  </si>
  <si>
    <t>ΔΤ                 (Τin -Tout)   (°C)</t>
  </si>
  <si>
    <t>Ένδειξη Αθροιστή Νερού (m³)</t>
  </si>
  <si>
    <t>Ημερήσιος Όγκος Νερού (m³)</t>
  </si>
  <si>
    <t>Ενέργεια (MWh)</t>
  </si>
  <si>
    <t>Ηλεκτρικής             Ενέργειας (%)</t>
  </si>
  <si>
    <t xml:space="preserve"> Θερμικής Ενέργειας (%)</t>
  </si>
  <si>
    <t xml:space="preserve"> Ολικός Βαθμός Απόδοσης Μηχανών (%)</t>
  </si>
  <si>
    <t>Energy +A</t>
  </si>
  <si>
    <t>Energy +R</t>
  </si>
  <si>
    <t>KWh</t>
  </si>
  <si>
    <t>Kvar</t>
  </si>
  <si>
    <t>Energy -A</t>
  </si>
  <si>
    <t>Energy -R</t>
  </si>
  <si>
    <t>C1</t>
  </si>
  <si>
    <t>C2</t>
  </si>
  <si>
    <t>C</t>
  </si>
  <si>
    <t>D1</t>
  </si>
  <si>
    <t>D2</t>
  </si>
  <si>
    <t>D</t>
  </si>
  <si>
    <t>E1</t>
  </si>
  <si>
    <t>E2</t>
  </si>
  <si>
    <t>E</t>
  </si>
  <si>
    <t>F1</t>
  </si>
  <si>
    <t>F2</t>
  </si>
  <si>
    <t>F</t>
  </si>
  <si>
    <t xml:space="preserve"> </t>
  </si>
  <si>
    <t>Σύνολα:</t>
  </si>
  <si>
    <t>Μέση Τιμή:</t>
  </si>
  <si>
    <t>\</t>
  </si>
  <si>
    <t xml:space="preserve">  </t>
  </si>
  <si>
    <t>Δ. ΔΡΑΣΤΗΡΙΟΤΗΤΩΝ ΜΕΤΑΦΟΡΑΣ</t>
  </si>
  <si>
    <t>ΔΕΣΦΑ Α.Ε.</t>
  </si>
  <si>
    <t xml:space="preserve">ΠΕΡΙΟΔΟΣ:  </t>
  </si>
  <si>
    <t>ΔΙΕΥΘΥΝΣΗ Υ.Φ.Α</t>
  </si>
  <si>
    <t>ΤΕΡΜΑΤΙΚΟΣ  ΣΤΑΘΜΟΣ  Υ.Φ.Α.  ΡΕΒΥΘΟΥΣΑΣ</t>
  </si>
  <si>
    <t>Οκτώβριος</t>
  </si>
  <si>
    <t>ΤΜΗΜΑ ΛΕΙΤΟΥΡΓΙΑΣ  Υ.Φ.Α.</t>
  </si>
  <si>
    <t>ΜΗΝΙΑΙΟ  ΙΣΟΖΥΓΙΟ  ΕΝΕΡΓΕΙΑΣ  POWER  PLANT</t>
  </si>
  <si>
    <t>ΚΑΤΑΝΑΛΩΣΗ</t>
  </si>
  <si>
    <t>ΠΑΡΑΓΟΜΕΝΗ</t>
  </si>
  <si>
    <t>ΙΔΙΟΚ/ΛΩΣΗ</t>
  </si>
  <si>
    <t>ΤΕΛΙΚΗ ΠΑΡΑΓ.</t>
  </si>
  <si>
    <t>ΕΞΑΓ. ΔΕΗ</t>
  </si>
  <si>
    <t>ΕΞΑΓ. ΑΕΡΓΟΣ</t>
  </si>
  <si>
    <t>ΚΑΤ. LNG TERM.</t>
  </si>
  <si>
    <t>ΩΦΕΛΙΜΗ</t>
  </si>
  <si>
    <t>ΗΜΕPΟΜΗΝΙΑ</t>
  </si>
  <si>
    <t>ΑΕΡΙΟΥ*</t>
  </si>
  <si>
    <t>ΗΛ. ΕΝΕΡΓΕΙΑ</t>
  </si>
  <si>
    <t>ΑΕΡΓΟΣ ΕΝΕΡΓ.</t>
  </si>
  <si>
    <t>ΕΝ. ΠΡΟΣ ΔΕΗ</t>
  </si>
  <si>
    <t>ΘΕΡΜ. ΕΝΕΡΓΕΙΑ</t>
  </si>
  <si>
    <t>MWh (ΚΘΔ)</t>
  </si>
  <si>
    <t>MWh</t>
  </si>
  <si>
    <t>MVarh</t>
  </si>
  <si>
    <t>ΜWh</t>
  </si>
  <si>
    <t>ΣΥΝΟΛΑ</t>
  </si>
  <si>
    <t>*</t>
  </si>
  <si>
    <t>Κατανάλωση Αερίου MWh (ΚΘΔ)  :</t>
  </si>
  <si>
    <t>Η καταναλισκόμενη ενέργεια αερίου στις μηχανές σε κατωτέρα θερμογόνο δύναμη (ΚΘΔ)</t>
  </si>
  <si>
    <t>ΤΕΡΜΑΤΙΚΟΣ ΣΤΑΘΜΟΣ Υ.Φ.Α. ΡΕΒΥΘΟΥΣΑΣ</t>
  </si>
  <si>
    <t>ΤΜΗΜΑ ΛΕΙΤΟΥΡΓΙΑΣ Υ.Φ.Α.</t>
  </si>
  <si>
    <t>ΜΗΝΙΑΙΑ ΑΝΑΦΟΡΑ POWER PLANT 13 MW :</t>
  </si>
  <si>
    <t>ΟΚΤΩΒΡΙΟΣ</t>
  </si>
  <si>
    <t>ΤΟΜΕΑΣ ΔΙΕΡΓΑΣΙΩΝ</t>
  </si>
  <si>
    <t>ΠΟΣΟΣΤΟ ΧΡΗΣΗΣ ΓΕΝΝΗΤΡΙΩΝ</t>
  </si>
  <si>
    <t>ΠΑΡΑΓΟΜΕΝΗ ΕΝΕΡΓΕΙΑ POWER PLANT</t>
  </si>
  <si>
    <t>ΚΑΤΑΝΑΛΩΣΕΙΣ POWER PLANT</t>
  </si>
  <si>
    <t>ΗΜΕΡ/ΝΙΑ</t>
  </si>
  <si>
    <t>ΜΕΣΗ ΤΙΜΗ</t>
  </si>
  <si>
    <t>ΕΞΑΓΟΜΕΝΗ /</t>
  </si>
  <si>
    <t>ΕΙΔΙΚΗ ΚΑΤΆ-</t>
  </si>
  <si>
    <t xml:space="preserve">ΕΙΣΕΡΧ. ΔΕΗ </t>
  </si>
  <si>
    <t>ΣΥΝΟΛ.ΚΑΤΑΝΑΛ.</t>
  </si>
  <si>
    <t>ΧΡΗΣΗΣ GE1</t>
  </si>
  <si>
    <t>ΧΡΗΣΗΣ GE2</t>
  </si>
  <si>
    <t>ΑΕΡΙΟΥ</t>
  </si>
  <si>
    <t>ΝΑΛΩΣΗ ΑΕΡΙΟΥ</t>
  </si>
  <si>
    <t>ΗΛ. ΕΝΕΡΓΕΙΑΣ Τ.Σ.ΥΦΑ</t>
  </si>
  <si>
    <t>(%)</t>
  </si>
  <si>
    <t>KJ/KWh</t>
  </si>
  <si>
    <t>ΣΥΝΟΛΑ:</t>
  </si>
  <si>
    <t>Μ.Ο.:</t>
  </si>
  <si>
    <t>ΕΠΕΞΗΓΗΣΗ ΜΟΝΑΔΩΝ:</t>
  </si>
  <si>
    <t>1)</t>
  </si>
  <si>
    <t>Ηλεκτρ. Ενέργεια MWh  :</t>
  </si>
  <si>
    <t>Ενεργός τιμή ηλεκτρικής ενέργειας σε μεγαβατώρες</t>
  </si>
  <si>
    <t>2)</t>
  </si>
  <si>
    <t>Θερμική Ενέργεια MWh  :</t>
  </si>
  <si>
    <t>Θερμική ενέργεια σε μεγαβατώρες προς SCV</t>
  </si>
  <si>
    <t>3)</t>
  </si>
  <si>
    <t>% Εξαγόμενη/Παραγόμενη :</t>
  </si>
  <si>
    <t>Το ποσοστό της εξαγόμενης ηλεκτρικής ενέργειας στο δίκτυο της ΔΕΗ προς την συνολική παραγόμενη ηλεκτρική ενέργεια του Power Plant</t>
  </si>
  <si>
    <t>4)</t>
  </si>
  <si>
    <t>% Χρήσης της κάθε γεννήτριας :</t>
  </si>
  <si>
    <t xml:space="preserve">Το ποσοστό της μέσης τιμής ισχύος λειτουργίας της κάθε γεννήτρια στο 24ωρο προς την ονομαστική της τιμή </t>
  </si>
  <si>
    <t>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</si>
</sst>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dd/mm/yy;@"/>
    <numFmt numFmtId="166" formatCode="0.000"/>
    <numFmt numFmtId="167" formatCode="mmmm"/>
    <numFmt numFmtId="168" formatCode="yyyy"/>
    <numFmt numFmtId="169" formatCode="d\-mmm\-yyyy"/>
    <numFmt numFmtId="170" formatCode="#,##0.000"/>
    <numFmt numFmtId="171" formatCode="#,##0.0000000"/>
    <numFmt numFmtId="172" formatCode="[$-408]d\-mmm\-yy;@"/>
  </numFmts>
  <fonts count="20" x14ac:knownFonts="1">
    <font>
      <sz val="10"/>
      <name val="Arial"/>
      <charset val="161"/>
    </font>
    <font>
      <sz val="10"/>
      <name val="Book Antiqua"/>
      <family val="1"/>
      <charset val="161"/>
    </font>
    <font>
      <b/>
      <sz val="10"/>
      <name val="Book Antiqua"/>
      <family val="1"/>
      <charset val="161"/>
    </font>
    <font>
      <b/>
      <sz val="14"/>
      <name val="Book Antiqua"/>
      <family val="1"/>
      <charset val="161"/>
    </font>
    <font>
      <b/>
      <sz val="12"/>
      <name val="Book Antiqua"/>
      <family val="1"/>
      <charset val="161"/>
    </font>
    <font>
      <sz val="9"/>
      <name val="Book Antiqua"/>
      <family val="1"/>
      <charset val="161"/>
    </font>
    <font>
      <b/>
      <sz val="9"/>
      <name val="Book Antiqua"/>
      <family val="1"/>
      <charset val="161"/>
    </font>
    <font>
      <b/>
      <sz val="8"/>
      <color indexed="62"/>
      <name val="Book Antiqua"/>
      <family val="1"/>
      <charset val="161"/>
    </font>
    <font>
      <b/>
      <sz val="8"/>
      <color indexed="18"/>
      <name val="Book Antiqua"/>
      <family val="1"/>
      <charset val="161"/>
    </font>
    <font>
      <sz val="8"/>
      <name val="Book Antiqua"/>
      <family val="1"/>
      <charset val="161"/>
    </font>
    <font>
      <b/>
      <sz val="8"/>
      <color indexed="12"/>
      <name val="Book Antiqua"/>
      <family val="1"/>
      <charset val="161"/>
    </font>
    <font>
      <sz val="8"/>
      <color indexed="12"/>
      <name val="Book Antiqua"/>
      <family val="1"/>
      <charset val="161"/>
    </font>
    <font>
      <b/>
      <sz val="8"/>
      <color indexed="8"/>
      <name val="Book Antiqua"/>
      <family val="1"/>
      <charset val="161"/>
    </font>
    <font>
      <b/>
      <sz val="8"/>
      <name val="Book Antiqua"/>
      <family val="1"/>
      <charset val="161"/>
    </font>
    <font>
      <b/>
      <u/>
      <sz val="8"/>
      <name val="Book Antiqua"/>
      <family val="1"/>
      <charset val="161"/>
    </font>
    <font>
      <b/>
      <sz val="10"/>
      <color indexed="10"/>
      <name val="Book Antiqua"/>
      <family val="1"/>
      <charset val="161"/>
    </font>
    <font>
      <sz val="11"/>
      <name val="Arial"/>
      <family val="2"/>
      <charset val="161"/>
    </font>
    <font>
      <sz val="10"/>
      <color rgb="FFFF0000"/>
      <name val="Book Antiqua"/>
      <family val="1"/>
      <charset val="161"/>
    </font>
    <font>
      <sz val="10"/>
      <color rgb="FF000000"/>
      <name val="Arial"/>
      <family val="2"/>
      <charset val="161"/>
    </font>
    <font>
      <sz val="8"/>
      <color rgb="FF242424"/>
      <name val="Segoe UI"/>
      <family val="2"/>
      <charset val="161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</fills>
  <borders count="53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58">
    <xf numFmtId="0" fontId="0" fillId="0" borderId="0" xfId="0"/>
    <xf numFmtId="0" fontId="7" fillId="2" borderId="0" xfId="0" applyFont="1" applyFill="1" applyAlignment="1">
      <alignment horizontal="left"/>
    </xf>
    <xf numFmtId="0" fontId="14" fillId="0" borderId="0" xfId="0" applyFont="1"/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0" borderId="0" xfId="0" applyFont="1" applyAlignment="1">
      <alignment horizontal="right"/>
    </xf>
    <xf numFmtId="0" fontId="7" fillId="2" borderId="0" xfId="0" applyFont="1" applyFill="1"/>
    <xf numFmtId="0" fontId="7" fillId="2" borderId="0" xfId="0" applyFont="1" applyFill="1" applyAlignment="1">
      <alignment horizontal="center"/>
    </xf>
    <xf numFmtId="0" fontId="7" fillId="2" borderId="1" xfId="0" applyFont="1" applyFill="1" applyBorder="1" applyAlignment="1">
      <alignment horizontal="left"/>
    </xf>
    <xf numFmtId="0" fontId="7" fillId="2" borderId="2" xfId="0" applyFont="1" applyFill="1" applyBorder="1" applyAlignment="1">
      <alignment horizontal="left"/>
    </xf>
    <xf numFmtId="0" fontId="10" fillId="2" borderId="2" xfId="0" applyFont="1" applyFill="1" applyBorder="1"/>
    <xf numFmtId="0" fontId="11" fillId="2" borderId="2" xfId="0" applyFont="1" applyFill="1" applyBorder="1"/>
    <xf numFmtId="0" fontId="7" fillId="2" borderId="3" xfId="0" applyFont="1" applyFill="1" applyBorder="1" applyAlignment="1">
      <alignment horizontal="left"/>
    </xf>
    <xf numFmtId="0" fontId="13" fillId="4" borderId="5" xfId="0" applyFont="1" applyFill="1" applyBorder="1" applyAlignment="1">
      <alignment horizontal="center"/>
    </xf>
    <xf numFmtId="0" fontId="12" fillId="4" borderId="7" xfId="0" applyFont="1" applyFill="1" applyBorder="1"/>
    <xf numFmtId="0" fontId="13" fillId="5" borderId="8" xfId="0" applyFont="1" applyFill="1" applyBorder="1" applyAlignment="1">
      <alignment horizontal="center"/>
    </xf>
    <xf numFmtId="0" fontId="13" fillId="5" borderId="9" xfId="0" applyFont="1" applyFill="1" applyBorder="1" applyAlignment="1">
      <alignment horizontal="center"/>
    </xf>
    <xf numFmtId="0" fontId="13" fillId="5" borderId="10" xfId="0" applyFont="1" applyFill="1" applyBorder="1" applyAlignment="1">
      <alignment horizontal="center"/>
    </xf>
    <xf numFmtId="0" fontId="13" fillId="5" borderId="11" xfId="0" applyFont="1" applyFill="1" applyBorder="1" applyAlignment="1">
      <alignment horizontal="center"/>
    </xf>
    <xf numFmtId="0" fontId="13" fillId="4" borderId="7" xfId="0" applyFont="1" applyFill="1" applyBorder="1" applyAlignment="1">
      <alignment horizontal="center"/>
    </xf>
    <xf numFmtId="0" fontId="8" fillId="2" borderId="0" xfId="0" applyFont="1" applyFill="1" applyAlignment="1">
      <alignment horizontal="left"/>
    </xf>
    <xf numFmtId="10" fontId="1" fillId="6" borderId="0" xfId="0" applyNumberFormat="1" applyFont="1" applyFill="1"/>
    <xf numFmtId="0" fontId="1" fillId="6" borderId="0" xfId="0" applyFont="1" applyFill="1"/>
    <xf numFmtId="0" fontId="1" fillId="0" borderId="0" xfId="0" applyFont="1" applyProtection="1">
      <protection locked="0"/>
    </xf>
    <xf numFmtId="10" fontId="1" fillId="0" borderId="0" xfId="0" applyNumberFormat="1" applyFont="1" applyProtection="1">
      <protection locked="0"/>
    </xf>
    <xf numFmtId="0" fontId="1" fillId="6" borderId="0" xfId="0" applyFont="1" applyFill="1" applyProtection="1">
      <protection locked="0"/>
    </xf>
    <xf numFmtId="0" fontId="1" fillId="0" borderId="0" xfId="0" applyFont="1" applyAlignment="1">
      <alignment horizontal="right"/>
    </xf>
    <xf numFmtId="0" fontId="3" fillId="0" borderId="2" xfId="0" applyFont="1" applyBorder="1"/>
    <xf numFmtId="0" fontId="2" fillId="0" borderId="2" xfId="0" applyFont="1" applyBorder="1" applyAlignment="1">
      <alignment horizontal="left"/>
    </xf>
    <xf numFmtId="0" fontId="1" fillId="0" borderId="12" xfId="0" applyFont="1" applyBorder="1"/>
    <xf numFmtId="0" fontId="4" fillId="0" borderId="0" xfId="0" applyFont="1"/>
    <xf numFmtId="0" fontId="4" fillId="0" borderId="13" xfId="0" applyFont="1" applyBorder="1"/>
    <xf numFmtId="0" fontId="5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15" fillId="0" borderId="0" xfId="0" applyFont="1"/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4" fontId="1" fillId="0" borderId="0" xfId="0" applyNumberFormat="1" applyFont="1"/>
    <xf numFmtId="0" fontId="2" fillId="0" borderId="1" xfId="0" applyFont="1" applyBorder="1" applyProtection="1">
      <protection hidden="1"/>
    </xf>
    <xf numFmtId="0" fontId="2" fillId="0" borderId="2" xfId="0" applyFont="1" applyBorder="1" applyProtection="1">
      <protection hidden="1"/>
    </xf>
    <xf numFmtId="0" fontId="2" fillId="0" borderId="3" xfId="0" applyFont="1" applyBorder="1"/>
    <xf numFmtId="0" fontId="2" fillId="0" borderId="0" xfId="0" applyFont="1"/>
    <xf numFmtId="0" fontId="2" fillId="0" borderId="27" xfId="0" applyFont="1" applyBorder="1"/>
    <xf numFmtId="0" fontId="2" fillId="0" borderId="13" xfId="0" applyFont="1" applyBorder="1"/>
    <xf numFmtId="0" fontId="1" fillId="0" borderId="2" xfId="0" applyFont="1" applyBorder="1"/>
    <xf numFmtId="0" fontId="1" fillId="0" borderId="13" xfId="0" applyFont="1" applyBorder="1"/>
    <xf numFmtId="0" fontId="1" fillId="0" borderId="29" xfId="0" applyFont="1" applyBorder="1"/>
    <xf numFmtId="3" fontId="2" fillId="0" borderId="30" xfId="0" applyNumberFormat="1" applyFont="1" applyBorder="1" applyAlignment="1">
      <alignment horizontal="center"/>
    </xf>
    <xf numFmtId="0" fontId="13" fillId="5" borderId="31" xfId="0" applyFont="1" applyFill="1" applyBorder="1" applyAlignment="1">
      <alignment horizontal="center"/>
    </xf>
    <xf numFmtId="0" fontId="7" fillId="2" borderId="2" xfId="0" applyFont="1" applyFill="1" applyBorder="1"/>
    <xf numFmtId="0" fontId="13" fillId="5" borderId="25" xfId="0" applyFont="1" applyFill="1" applyBorder="1" applyAlignment="1">
      <alignment horizontal="center" shrinkToFit="1"/>
    </xf>
    <xf numFmtId="0" fontId="13" fillId="5" borderId="32" xfId="0" applyFont="1" applyFill="1" applyBorder="1" applyAlignment="1">
      <alignment horizontal="center" shrinkToFit="1"/>
    </xf>
    <xf numFmtId="0" fontId="13" fillId="5" borderId="26" xfId="0" applyFont="1" applyFill="1" applyBorder="1" applyAlignment="1">
      <alignment horizontal="center" shrinkToFit="1"/>
    </xf>
    <xf numFmtId="0" fontId="13" fillId="5" borderId="33" xfId="0" applyFont="1" applyFill="1" applyBorder="1" applyAlignment="1">
      <alignment horizontal="center" shrinkToFit="1"/>
    </xf>
    <xf numFmtId="0" fontId="13" fillId="5" borderId="34" xfId="0" applyFont="1" applyFill="1" applyBorder="1" applyAlignment="1">
      <alignment horizontal="center" shrinkToFit="1"/>
    </xf>
    <xf numFmtId="0" fontId="13" fillId="5" borderId="35" xfId="0" applyFont="1" applyFill="1" applyBorder="1" applyAlignment="1">
      <alignment horizontal="center" shrinkToFit="1"/>
    </xf>
    <xf numFmtId="0" fontId="13" fillId="5" borderId="36" xfId="0" applyFont="1" applyFill="1" applyBorder="1" applyAlignment="1">
      <alignment horizontal="center" shrinkToFit="1"/>
    </xf>
    <xf numFmtId="0" fontId="13" fillId="5" borderId="37" xfId="0" applyFont="1" applyFill="1" applyBorder="1" applyAlignment="1">
      <alignment horizontal="center" shrinkToFit="1"/>
    </xf>
    <xf numFmtId="0" fontId="13" fillId="5" borderId="38" xfId="0" applyFont="1" applyFill="1" applyBorder="1" applyAlignment="1">
      <alignment horizontal="center" shrinkToFit="1"/>
    </xf>
    <xf numFmtId="0" fontId="13" fillId="5" borderId="39" xfId="0" applyFont="1" applyFill="1" applyBorder="1" applyAlignment="1">
      <alignment horizontal="center" shrinkToFit="1"/>
    </xf>
    <xf numFmtId="0" fontId="13" fillId="5" borderId="40" xfId="0" applyFont="1" applyFill="1" applyBorder="1" applyAlignment="1">
      <alignment horizontal="center" shrinkToFit="1"/>
    </xf>
    <xf numFmtId="0" fontId="13" fillId="5" borderId="41" xfId="0" applyFont="1" applyFill="1" applyBorder="1" applyAlignment="1">
      <alignment horizontal="center" shrinkToFit="1"/>
    </xf>
    <xf numFmtId="10" fontId="9" fillId="3" borderId="26" xfId="0" applyNumberFormat="1" applyFont="1" applyFill="1" applyBorder="1" applyAlignment="1">
      <alignment horizontal="right"/>
    </xf>
    <xf numFmtId="2" fontId="9" fillId="3" borderId="33" xfId="0" applyNumberFormat="1" applyFont="1" applyFill="1" applyBorder="1" applyAlignment="1" applyProtection="1">
      <alignment horizontal="right"/>
      <protection locked="0"/>
    </xf>
    <xf numFmtId="10" fontId="9" fillId="0" borderId="35" xfId="0" applyNumberFormat="1" applyFont="1" applyBorder="1" applyAlignment="1">
      <alignment horizontal="right"/>
    </xf>
    <xf numFmtId="2" fontId="13" fillId="4" borderId="42" xfId="0" applyNumberFormat="1" applyFont="1" applyFill="1" applyBorder="1" applyAlignment="1">
      <alignment horizontal="right"/>
    </xf>
    <xf numFmtId="10" fontId="13" fillId="4" borderId="8" xfId="0" applyNumberFormat="1" applyFont="1" applyFill="1" applyBorder="1" applyAlignment="1">
      <alignment horizontal="right"/>
    </xf>
    <xf numFmtId="2" fontId="13" fillId="4" borderId="9" xfId="0" applyNumberFormat="1" applyFont="1" applyFill="1" applyBorder="1" applyAlignment="1">
      <alignment horizontal="right"/>
    </xf>
    <xf numFmtId="10" fontId="13" fillId="4" borderId="11" xfId="0" applyNumberFormat="1" applyFont="1" applyFill="1" applyBorder="1" applyAlignment="1">
      <alignment horizontal="right"/>
    </xf>
    <xf numFmtId="2" fontId="13" fillId="4" borderId="10" xfId="0" applyNumberFormat="1" applyFont="1" applyFill="1" applyBorder="1" applyAlignment="1">
      <alignment horizontal="right"/>
    </xf>
    <xf numFmtId="0" fontId="8" fillId="2" borderId="2" xfId="0" applyFont="1" applyFill="1" applyBorder="1"/>
    <xf numFmtId="0" fontId="8" fillId="2" borderId="0" xfId="0" applyFont="1" applyFill="1"/>
    <xf numFmtId="0" fontId="9" fillId="0" borderId="0" xfId="0" applyFont="1"/>
    <xf numFmtId="0" fontId="13" fillId="5" borderId="23" xfId="0" applyFont="1" applyFill="1" applyBorder="1" applyAlignment="1">
      <alignment horizontal="center"/>
    </xf>
    <xf numFmtId="0" fontId="13" fillId="5" borderId="45" xfId="0" applyFont="1" applyFill="1" applyBorder="1" applyAlignment="1">
      <alignment horizontal="center" shrinkToFit="1"/>
    </xf>
    <xf numFmtId="2" fontId="1" fillId="6" borderId="0" xfId="0" applyNumberFormat="1" applyFont="1" applyFill="1"/>
    <xf numFmtId="0" fontId="0" fillId="2" borderId="0" xfId="0" applyFill="1"/>
    <xf numFmtId="16" fontId="1" fillId="0" borderId="0" xfId="0" applyNumberFormat="1" applyFont="1"/>
    <xf numFmtId="10" fontId="1" fillId="7" borderId="0" xfId="0" applyNumberFormat="1" applyFont="1" applyFill="1"/>
    <xf numFmtId="10" fontId="1" fillId="8" borderId="0" xfId="0" applyNumberFormat="1" applyFont="1" applyFill="1"/>
    <xf numFmtId="0" fontId="1" fillId="8" borderId="0" xfId="0" applyFont="1" applyFill="1"/>
    <xf numFmtId="2" fontId="1" fillId="0" borderId="0" xfId="0" applyNumberFormat="1" applyFont="1"/>
    <xf numFmtId="0" fontId="1" fillId="9" borderId="0" xfId="0" applyFont="1" applyFill="1"/>
    <xf numFmtId="10" fontId="1" fillId="0" borderId="0" xfId="0" applyNumberFormat="1" applyFont="1"/>
    <xf numFmtId="0" fontId="17" fillId="0" borderId="0" xfId="0" applyFont="1"/>
    <xf numFmtId="0" fontId="17" fillId="0" borderId="0" xfId="0" applyFont="1" applyProtection="1">
      <protection locked="0"/>
    </xf>
    <xf numFmtId="1" fontId="16" fillId="0" borderId="0" xfId="0" applyNumberFormat="1" applyFont="1"/>
    <xf numFmtId="0" fontId="16" fillId="0" borderId="0" xfId="0" applyFont="1"/>
    <xf numFmtId="0" fontId="7" fillId="2" borderId="46" xfId="0" applyFont="1" applyFill="1" applyBorder="1" applyAlignment="1">
      <alignment horizontal="center"/>
    </xf>
    <xf numFmtId="1" fontId="1" fillId="6" borderId="0" xfId="0" applyNumberFormat="1" applyFont="1" applyFill="1"/>
    <xf numFmtId="2" fontId="9" fillId="0" borderId="32" xfId="0" applyNumberFormat="1" applyFont="1" applyBorder="1" applyAlignment="1">
      <alignment horizontal="right"/>
    </xf>
    <xf numFmtId="164" fontId="0" fillId="2" borderId="0" xfId="0" applyNumberFormat="1" applyFill="1"/>
    <xf numFmtId="165" fontId="1" fillId="0" borderId="0" xfId="0" applyNumberFormat="1" applyFont="1"/>
    <xf numFmtId="166" fontId="1" fillId="6" borderId="0" xfId="0" applyNumberFormat="1" applyFont="1" applyFill="1"/>
    <xf numFmtId="167" fontId="2" fillId="0" borderId="0" xfId="0" applyNumberFormat="1" applyFont="1"/>
    <xf numFmtId="168" fontId="2" fillId="0" borderId="28" xfId="0" applyNumberFormat="1" applyFont="1" applyBorder="1" applyAlignment="1">
      <alignment horizontal="left"/>
    </xf>
    <xf numFmtId="169" fontId="2" fillId="0" borderId="25" xfId="0" applyNumberFormat="1" applyFont="1" applyBorder="1" applyAlignment="1" applyProtection="1">
      <alignment horizontal="right"/>
      <protection locked="0"/>
    </xf>
    <xf numFmtId="166" fontId="1" fillId="0" borderId="34" xfId="0" applyNumberFormat="1" applyFont="1" applyBorder="1" applyAlignment="1">
      <alignment horizontal="right"/>
    </xf>
    <xf numFmtId="166" fontId="1" fillId="0" borderId="33" xfId="0" applyNumberFormat="1" applyFont="1" applyBorder="1" applyAlignment="1">
      <alignment horizontal="right"/>
    </xf>
    <xf numFmtId="166" fontId="1" fillId="0" borderId="2" xfId="0" applyNumberFormat="1" applyFont="1" applyBorder="1" applyAlignment="1">
      <alignment horizontal="right"/>
    </xf>
    <xf numFmtId="166" fontId="1" fillId="0" borderId="42" xfId="0" applyNumberFormat="1" applyFont="1" applyBorder="1" applyAlignment="1">
      <alignment horizontal="right"/>
    </xf>
    <xf numFmtId="169" fontId="2" fillId="0" borderId="26" xfId="0" applyNumberFormat="1" applyFont="1" applyBorder="1" applyAlignment="1" applyProtection="1">
      <alignment horizontal="right"/>
      <protection locked="0"/>
    </xf>
    <xf numFmtId="166" fontId="1" fillId="0" borderId="39" xfId="0" applyNumberFormat="1" applyFont="1" applyBorder="1" applyAlignment="1">
      <alignment horizontal="right"/>
    </xf>
    <xf numFmtId="166" fontId="1" fillId="0" borderId="32" xfId="0" applyNumberFormat="1" applyFont="1" applyBorder="1" applyAlignment="1">
      <alignment horizontal="right"/>
    </xf>
    <xf numFmtId="166" fontId="2" fillId="0" borderId="43" xfId="0" applyNumberFormat="1" applyFont="1" applyBorder="1" applyAlignment="1">
      <alignment horizontal="right"/>
    </xf>
    <xf numFmtId="170" fontId="2" fillId="0" borderId="43" xfId="0" applyNumberFormat="1" applyFont="1" applyBorder="1" applyAlignment="1">
      <alignment horizontal="right"/>
    </xf>
    <xf numFmtId="170" fontId="2" fillId="0" borderId="44" xfId="0" applyNumberFormat="1" applyFont="1" applyBorder="1" applyAlignment="1">
      <alignment horizontal="right"/>
    </xf>
    <xf numFmtId="171" fontId="1" fillId="0" borderId="0" xfId="0" applyNumberFormat="1" applyFont="1"/>
    <xf numFmtId="170" fontId="1" fillId="0" borderId="0" xfId="0" applyNumberFormat="1" applyFont="1"/>
    <xf numFmtId="167" fontId="7" fillId="2" borderId="46" xfId="0" applyNumberFormat="1" applyFont="1" applyFill="1" applyBorder="1" applyAlignment="1">
      <alignment horizontal="right"/>
    </xf>
    <xf numFmtId="168" fontId="7" fillId="2" borderId="13" xfId="0" applyNumberFormat="1" applyFont="1" applyFill="1" applyBorder="1"/>
    <xf numFmtId="168" fontId="0" fillId="2" borderId="13" xfId="0" applyNumberFormat="1" applyFill="1" applyBorder="1"/>
    <xf numFmtId="172" fontId="13" fillId="3" borderId="6" xfId="0" applyNumberFormat="1" applyFont="1" applyFill="1" applyBorder="1"/>
    <xf numFmtId="166" fontId="9" fillId="0" borderId="26" xfId="0" applyNumberFormat="1" applyFont="1" applyBorder="1" applyAlignment="1" applyProtection="1">
      <alignment horizontal="right"/>
      <protection locked="0"/>
    </xf>
    <xf numFmtId="166" fontId="9" fillId="0" borderId="33" xfId="0" applyNumberFormat="1" applyFont="1" applyBorder="1" applyAlignment="1">
      <alignment horizontal="right"/>
    </xf>
    <xf numFmtId="166" fontId="9" fillId="3" borderId="33" xfId="0" applyNumberFormat="1" applyFont="1" applyFill="1" applyBorder="1" applyAlignment="1" applyProtection="1">
      <alignment horizontal="right"/>
      <protection locked="0"/>
    </xf>
    <xf numFmtId="166" fontId="9" fillId="3" borderId="36" xfId="0" applyNumberFormat="1" applyFont="1" applyFill="1" applyBorder="1" applyAlignment="1" applyProtection="1">
      <alignment horizontal="right"/>
      <protection locked="0"/>
    </xf>
    <xf numFmtId="166" fontId="1" fillId="0" borderId="0" xfId="0" applyNumberFormat="1" applyFont="1"/>
    <xf numFmtId="172" fontId="13" fillId="3" borderId="4" xfId="0" applyNumberFormat="1" applyFont="1" applyFill="1" applyBorder="1"/>
    <xf numFmtId="166" fontId="13" fillId="4" borderId="25" xfId="0" applyNumberFormat="1" applyFont="1" applyFill="1" applyBorder="1" applyAlignment="1">
      <alignment horizontal="right"/>
    </xf>
    <xf numFmtId="166" fontId="13" fillId="4" borderId="34" xfId="0" applyNumberFormat="1" applyFont="1" applyFill="1" applyBorder="1" applyAlignment="1">
      <alignment horizontal="right"/>
    </xf>
    <xf numFmtId="166" fontId="13" fillId="4" borderId="8" xfId="0" applyNumberFormat="1" applyFont="1" applyFill="1" applyBorder="1" applyAlignment="1">
      <alignment horizontal="right"/>
    </xf>
    <xf numFmtId="166" fontId="13" fillId="4" borderId="9" xfId="0" applyNumberFormat="1" applyFont="1" applyFill="1" applyBorder="1" applyAlignment="1">
      <alignment horizontal="right"/>
    </xf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 wrapText="1"/>
    </xf>
    <xf numFmtId="0" fontId="1" fillId="7" borderId="0" xfId="0" applyFont="1" applyFill="1" applyAlignment="1">
      <alignment horizontal="center" wrapText="1"/>
    </xf>
    <xf numFmtId="164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 wrapText="1"/>
    </xf>
    <xf numFmtId="0" fontId="1" fillId="7" borderId="0" xfId="0" applyFont="1" applyFill="1" applyAlignment="1">
      <alignment horizontal="center" wrapText="1"/>
    </xf>
    <xf numFmtId="164" fontId="0" fillId="0" borderId="0" xfId="0" applyNumberFormat="1"/>
    <xf numFmtId="0" fontId="1" fillId="0" borderId="0" xfId="0" applyFont="1" applyAlignment="1">
      <alignment vertical="justify"/>
    </xf>
    <xf numFmtId="0" fontId="1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2" xfId="0" applyBorder="1"/>
    <xf numFmtId="0" fontId="4" fillId="0" borderId="0" xfId="0" applyFont="1" applyAlignment="1">
      <alignment horizontal="center"/>
    </xf>
    <xf numFmtId="0" fontId="4" fillId="0" borderId="13" xfId="0" applyFont="1" applyBorder="1" applyAlignment="1">
      <alignment horizontal="center"/>
    </xf>
    <xf numFmtId="0" fontId="0" fillId="0" borderId="13" xfId="0" applyBorder="1"/>
    <xf numFmtId="0" fontId="12" fillId="4" borderId="30" xfId="0" applyFont="1" applyFill="1" applyBorder="1" applyAlignment="1">
      <alignment horizontal="center"/>
    </xf>
    <xf numFmtId="0" fontId="0" fillId="0" borderId="47" xfId="0" applyBorder="1"/>
    <xf numFmtId="0" fontId="13" fillId="5" borderId="51" xfId="0" applyFont="1" applyFill="1" applyBorder="1" applyAlignment="1">
      <alignment horizontal="center" vertical="center"/>
    </xf>
    <xf numFmtId="0" fontId="0" fillId="0" borderId="48" xfId="0" applyBorder="1"/>
    <xf numFmtId="0" fontId="0" fillId="0" borderId="49" xfId="0" applyBorder="1"/>
    <xf numFmtId="0" fontId="12" fillId="4" borderId="52" xfId="0" applyFont="1" applyFill="1" applyBorder="1" applyAlignment="1">
      <alignment horizontal="center"/>
    </xf>
    <xf numFmtId="0" fontId="0" fillId="0" borderId="50" xfId="0" applyBorder="1"/>
    <xf numFmtId="0" fontId="19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98775533240352"/>
          <c:y val="6.9518716577540107E-2"/>
          <c:w val="0.8056048920521256"/>
          <c:h val="0.74598930481283421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'Δεδομένα Μήνα'!$AJ$3:$AJ$34</c:f>
              <c:numCache>
                <c:formatCode>0.000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8C-4E0B-BDD5-2FFC10810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469455"/>
        <c:axId val="1"/>
      </c:lineChart>
      <c:catAx>
        <c:axId val="841469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l-GR"/>
                  <a:t>ΗΜΕΡΕΣ</a:t>
                </a:r>
              </a:p>
            </c:rich>
          </c:tx>
          <c:layout>
            <c:manualLayout>
              <c:xMode val="edge"/>
              <c:yMode val="edge"/>
              <c:x val="0.52364299225689059"/>
              <c:y val="0.89839576871072924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MWh</a:t>
                </a:r>
              </a:p>
            </c:rich>
          </c:tx>
          <c:layout>
            <c:manualLayout>
              <c:xMode val="edge"/>
              <c:yMode val="edge"/>
              <c:x val="2.8020990830011579E-2"/>
              <c:y val="0.39304806596145181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841469455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0946787559849"/>
          <c:y val="6.9518716577540107E-2"/>
          <c:w val="0.5919444641600401"/>
          <c:h val="0.74598930481283421"/>
        </c:manualLayout>
      </c:layout>
      <c:lineChart>
        <c:grouping val="standard"/>
        <c:varyColors val="0"/>
        <c:ser>
          <c:idx val="0"/>
          <c:order val="0"/>
          <c:tx>
            <c:strRef>
              <c:f>'Δεδομένα Μήνα'!$F$2</c:f>
              <c:strCache>
                <c:ptCount val="1"/>
                <c:pt idx="0">
                  <c:v>GE1 (MWh)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'Δεδομένα Μήνα'!$F$4:$F$34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F3-4A5A-93F3-5726EAA7CCE7}"/>
            </c:ext>
          </c:extLst>
        </c:ser>
        <c:ser>
          <c:idx val="1"/>
          <c:order val="1"/>
          <c:tx>
            <c:strRef>
              <c:f>'Δεδομένα Μήνα'!$G$2</c:f>
              <c:strCache>
                <c:ptCount val="1"/>
                <c:pt idx="0">
                  <c:v>GE2 (MWh)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'Δεδομένα Μήνα'!$G$4:$G$34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F3-4A5A-93F3-5726EAA7CCE7}"/>
            </c:ext>
          </c:extLst>
        </c:ser>
        <c:ser>
          <c:idx val="2"/>
          <c:order val="2"/>
          <c:tx>
            <c:strRef>
              <c:f>'Δεδομένα Μήνα'!$H$2</c:f>
              <c:strCache>
                <c:ptCount val="1"/>
                <c:pt idx="0">
                  <c:v>GE1+GE2 (MWh)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Ref>
              <c:f>'Δεδομένα Μήνα'!$H$4:$H$34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F3-4A5A-93F3-5726EAA7C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465295"/>
        <c:axId val="1"/>
      </c:lineChart>
      <c:catAx>
        <c:axId val="8414652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l-GR"/>
                  <a:t>ΗΜΕΡΑ</a:t>
                </a:r>
              </a:p>
            </c:rich>
          </c:tx>
          <c:layout>
            <c:manualLayout>
              <c:xMode val="edge"/>
              <c:yMode val="edge"/>
              <c:x val="0.37828416112828572"/>
              <c:y val="0.89839582804165596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l-GR" sz="1000" b="1" i="0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ΜMWh</a:t>
                </a:r>
              </a:p>
            </c:rich>
          </c:tx>
          <c:layout>
            <c:manualLayout>
              <c:xMode val="edge"/>
              <c:yMode val="edge"/>
              <c:x val="2.8020975832193339E-2"/>
              <c:y val="0.3796791656083312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841465295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87376082093704"/>
          <c:y val="0.35283342858352379"/>
          <c:w val="0.24350977160686649"/>
          <c:h val="0.17742491109982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l-G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0946787559849"/>
          <c:y val="0.18716577540106949"/>
          <c:w val="0.50613003000666146"/>
          <c:h val="0.62834224598930477"/>
        </c:manualLayout>
      </c:layout>
      <c:lineChart>
        <c:grouping val="standard"/>
        <c:varyColors val="0"/>
        <c:ser>
          <c:idx val="0"/>
          <c:order val="0"/>
          <c:tx>
            <c:v>ΕΞΑΓΩΜΕΝΗ ΠΡΟΣ ΔΕΗ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'Δεδομένα Μήνα'!$O$4:$O$34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B5-40AE-ADCF-46B4F29F8ABC}"/>
            </c:ext>
          </c:extLst>
        </c:ser>
        <c:ser>
          <c:idx val="1"/>
          <c:order val="1"/>
          <c:tx>
            <c:v>ΚΑΤΑΝΑΛΩΣΗ LNG PLANT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'Δεδομένα Μήνα'!$T$4:$T$34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B5-40AE-ADCF-46B4F29F8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466959"/>
        <c:axId val="1"/>
      </c:lineChart>
      <c:catAx>
        <c:axId val="841466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l-GR"/>
                  <a:t>ΗΜΕΡΑ</a:t>
                </a:r>
              </a:p>
            </c:rich>
          </c:tx>
          <c:layout>
            <c:manualLayout>
              <c:xMode val="edge"/>
              <c:yMode val="edge"/>
              <c:x val="0.33450135743341358"/>
              <c:y val="0.89839568246740242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MWh</a:t>
                </a:r>
              </a:p>
            </c:rich>
          </c:tx>
          <c:layout>
            <c:manualLayout>
              <c:xMode val="edge"/>
              <c:yMode val="edge"/>
              <c:x val="2.8021003388322169E-2"/>
              <c:y val="0.45187152810717929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841466959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637783249602399"/>
          <c:y val="0.40362737037388402"/>
          <c:w val="0.32417960212018182"/>
          <c:h val="0.208841929397379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l-G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461566551412579"/>
          <c:y val="0.1982764184750429"/>
          <c:w val="0.83333507223030234"/>
          <c:h val="0.6609213949168095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'Δεδομένα Μήνα'!$AK$4:$AK$34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3B-4BDB-974C-353E216290B4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'Δεδομένα Μήνα'!$AL$4:$AL$34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3B-4BDB-974C-353E216290B4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Ref>
              <c:f>'Δεδομένα Μήνα'!$AM$4:$AM$34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3B-4BDB-974C-353E21629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471119"/>
        <c:axId val="1"/>
      </c:lineChart>
      <c:catAx>
        <c:axId val="8414711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25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l-GR"/>
                  <a:t>ΗΜΕΡΕΣ</a:t>
                </a:r>
              </a:p>
            </c:rich>
          </c:tx>
          <c:layout>
            <c:manualLayout>
              <c:xMode val="edge"/>
              <c:yMode val="edge"/>
              <c:x val="0.49786445163572518"/>
              <c:y val="0.92529002056561127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l-GR"/>
                  <a:t>%</a:t>
                </a:r>
              </a:p>
            </c:rich>
          </c:tx>
          <c:layout>
            <c:manualLayout>
              <c:xMode val="edge"/>
              <c:yMode val="edge"/>
              <c:x val="1.068385586577052E-2"/>
              <c:y val="0.5114954380702412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841471119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047217891440763"/>
          <c:y val="1.5152083262319489E-2"/>
          <c:w val="0.25458378642769491"/>
          <c:h val="0.2467617684153118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l-G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106680</xdr:colOff>
      <xdr:row>36</xdr:row>
      <xdr:rowOff>30480</xdr:rowOff>
    </xdr:from>
    <xdr:to>
      <xdr:col>30</xdr:col>
      <xdr:colOff>281940</xdr:colOff>
      <xdr:row>56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182880</xdr:colOff>
      <xdr:row>35</xdr:row>
      <xdr:rowOff>144780</xdr:rowOff>
    </xdr:from>
    <xdr:to>
      <xdr:col>14</xdr:col>
      <xdr:colOff>106680</xdr:colOff>
      <xdr:row>56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762000</xdr:colOff>
      <xdr:row>36</xdr:row>
      <xdr:rowOff>38100</xdr:rowOff>
    </xdr:from>
    <xdr:to>
      <xdr:col>22</xdr:col>
      <xdr:colOff>7620</xdr:colOff>
      <xdr:row>57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441960</xdr:colOff>
      <xdr:row>36</xdr:row>
      <xdr:rowOff>22860</xdr:rowOff>
    </xdr:from>
    <xdr:to>
      <xdr:col>36</xdr:col>
      <xdr:colOff>762000</xdr:colOff>
      <xdr:row>55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36</xdr:row>
          <xdr:rowOff>60960</xdr:rowOff>
        </xdr:from>
        <xdr:to>
          <xdr:col>0</xdr:col>
          <xdr:colOff>876300</xdr:colOff>
          <xdr:row>39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l-G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Correct Error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91440</xdr:colOff>
      <xdr:row>0</xdr:row>
      <xdr:rowOff>30480</xdr:rowOff>
    </xdr:from>
    <xdr:to>
      <xdr:col>2</xdr:col>
      <xdr:colOff>22860</xdr:colOff>
      <xdr:row>2</xdr:row>
      <xdr:rowOff>99060</xdr:rowOff>
    </xdr:to>
    <xdr:pic>
      <xdr:nvPicPr>
        <xdr:cNvPr id="1797" name="Picture 1" descr="ΔΕΙΓΜΑ DESFA CMYK GR">
          <a:extLst>
            <a:ext uri="{FF2B5EF4-FFF2-40B4-BE49-F238E27FC236}">
              <a16:creationId xmlns:a16="http://schemas.microsoft.com/office/drawing/2014/main" id="{00000000-0008-0000-0200-00000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1440" y="30480"/>
          <a:ext cx="1607820" cy="43434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D90"/>
  <sheetViews>
    <sheetView tabSelected="1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B4" sqref="CB4"/>
    </sheetView>
  </sheetViews>
  <sheetFormatPr defaultColWidth="9.109375" defaultRowHeight="13.8" x14ac:dyDescent="0.3"/>
  <cols>
    <col min="1" max="1" width="13.33203125" style="130" customWidth="1"/>
    <col min="2" max="3" width="8.6640625" style="130" customWidth="1"/>
    <col min="4" max="4" width="10.5546875" style="130" customWidth="1"/>
    <col min="5" max="5" width="8.88671875" style="130" customWidth="1"/>
    <col min="6" max="7" width="8.6640625" style="130" customWidth="1"/>
    <col min="8" max="8" width="11.6640625" style="130" customWidth="1"/>
    <col min="9" max="10" width="8.6640625" style="130" customWidth="1"/>
    <col min="11" max="11" width="11.6640625" style="130" customWidth="1"/>
    <col min="12" max="12" width="15.6640625" style="130" customWidth="1"/>
    <col min="13" max="14" width="8.6640625" style="130" customWidth="1"/>
    <col min="15" max="15" width="11.6640625" style="130" customWidth="1"/>
    <col min="16" max="17" width="8.6640625" style="130" customWidth="1"/>
    <col min="18" max="18" width="18.33203125" style="130" customWidth="1"/>
    <col min="19" max="19" width="13.6640625" style="130" customWidth="1"/>
    <col min="20" max="22" width="15.6640625" style="130" customWidth="1"/>
    <col min="23" max="23" width="10.6640625" style="130" customWidth="1"/>
    <col min="24" max="24" width="14.5546875" style="130" customWidth="1"/>
    <col min="25" max="25" width="10.6640625" style="130" customWidth="1"/>
    <col min="26" max="26" width="11.5546875" style="130" customWidth="1"/>
    <col min="27" max="27" width="13.77734375" style="130" customWidth="1"/>
    <col min="28" max="28" width="10.6640625" style="130" customWidth="1"/>
    <col min="29" max="32" width="12.6640625" style="130" customWidth="1"/>
    <col min="33" max="33" width="11.44140625" style="130" customWidth="1"/>
    <col min="34" max="34" width="14.88671875" style="130" customWidth="1"/>
    <col min="35" max="35" width="11.6640625" style="130" customWidth="1"/>
    <col min="36" max="36" width="11.44140625" style="130" customWidth="1"/>
    <col min="37" max="37" width="16.109375" style="130" customWidth="1"/>
    <col min="38" max="38" width="15.44140625" style="130" customWidth="1"/>
    <col min="39" max="39" width="14" style="130" customWidth="1"/>
    <col min="40" max="40" width="9.109375" style="130" customWidth="1"/>
    <col min="41" max="41" width="10.33203125" style="131" customWidth="1"/>
    <col min="42" max="42" width="10.5546875" style="134" bestFit="1" customWidth="1"/>
    <col min="43" max="44" width="9.88671875" style="130" customWidth="1"/>
    <col min="45" max="45" width="9.109375" style="130" customWidth="1"/>
    <col min="46" max="46" width="10.88671875" style="131" customWidth="1"/>
    <col min="47" max="47" width="10" style="131" customWidth="1"/>
    <col min="48" max="48" width="12.88671875" style="130" customWidth="1"/>
    <col min="49" max="49" width="12.6640625" style="130" customWidth="1"/>
    <col min="50" max="55" width="9.109375" style="130" customWidth="1"/>
    <col min="56" max="56" width="14.21875" style="130" customWidth="1"/>
    <col min="57" max="57" width="10.44140625" style="130" bestFit="1" customWidth="1"/>
    <col min="58" max="58" width="11.44140625" style="130" bestFit="1" customWidth="1"/>
    <col min="59" max="60" width="10.44140625" style="130" bestFit="1" customWidth="1"/>
    <col min="61" max="61" width="9.109375" style="130" customWidth="1"/>
    <col min="62" max="63" width="11.33203125" style="130" customWidth="1"/>
    <col min="64" max="65" width="11.6640625" style="130" customWidth="1"/>
    <col min="66" max="66" width="11.5546875" style="130" customWidth="1"/>
    <col min="67" max="70" width="9.109375" style="130" customWidth="1"/>
    <col min="71" max="16384" width="9.109375" style="130"/>
  </cols>
  <sheetData>
    <row r="1" spans="1:80" ht="29.25" customHeight="1" x14ac:dyDescent="0.3">
      <c r="A1" s="140" t="s">
        <v>0</v>
      </c>
      <c r="B1" s="144" t="s">
        <v>1</v>
      </c>
      <c r="C1" s="138"/>
      <c r="D1" s="140" t="s">
        <v>2</v>
      </c>
      <c r="E1" s="138"/>
      <c r="F1" s="140" t="s">
        <v>3</v>
      </c>
      <c r="G1" s="138"/>
      <c r="H1" s="138"/>
      <c r="I1" s="140" t="s">
        <v>4</v>
      </c>
      <c r="J1" s="138"/>
      <c r="K1" s="138"/>
      <c r="L1" s="140" t="s">
        <v>5</v>
      </c>
      <c r="M1" s="140" t="s">
        <v>6</v>
      </c>
      <c r="N1" s="138"/>
      <c r="O1" s="138"/>
      <c r="P1" s="140" t="s">
        <v>7</v>
      </c>
      <c r="Q1" s="138"/>
      <c r="R1" s="138"/>
      <c r="S1" s="140" t="s">
        <v>8</v>
      </c>
      <c r="T1" s="140" t="s">
        <v>9</v>
      </c>
      <c r="U1" s="141" t="s">
        <v>10</v>
      </c>
      <c r="V1" s="133"/>
      <c r="W1" s="140" t="s">
        <v>11</v>
      </c>
      <c r="X1" s="138"/>
      <c r="Y1" s="138"/>
      <c r="Z1" s="138"/>
      <c r="AA1" s="140" t="s">
        <v>12</v>
      </c>
      <c r="AB1" s="138"/>
      <c r="AC1" s="138"/>
      <c r="AD1" s="138"/>
      <c r="AE1" s="138"/>
      <c r="AF1" s="138"/>
      <c r="AG1" s="144" t="s">
        <v>13</v>
      </c>
      <c r="AH1" s="138"/>
      <c r="AI1" s="138"/>
      <c r="AJ1" s="138"/>
      <c r="AK1" s="135" t="s">
        <v>14</v>
      </c>
      <c r="AL1" s="135" t="s">
        <v>14</v>
      </c>
      <c r="AM1" s="135"/>
      <c r="AO1" s="138" t="s">
        <v>15</v>
      </c>
      <c r="AP1" s="142"/>
      <c r="AQ1" s="143" t="s">
        <v>16</v>
      </c>
      <c r="AR1" s="138"/>
      <c r="AT1" s="138" t="s">
        <v>17</v>
      </c>
      <c r="AU1" s="139"/>
    </row>
    <row r="2" spans="1:80" s="132" customFormat="1" ht="41.4" customHeight="1" x14ac:dyDescent="0.3">
      <c r="A2" s="140"/>
      <c r="B2" s="133" t="s">
        <v>18</v>
      </c>
      <c r="C2" s="133" t="s">
        <v>19</v>
      </c>
      <c r="D2" s="132" t="s">
        <v>20</v>
      </c>
      <c r="E2" s="132" t="s">
        <v>21</v>
      </c>
      <c r="F2" s="133" t="s">
        <v>22</v>
      </c>
      <c r="G2" s="133" t="s">
        <v>23</v>
      </c>
      <c r="H2" s="132" t="s">
        <v>24</v>
      </c>
      <c r="I2" s="133" t="s">
        <v>25</v>
      </c>
      <c r="J2" s="133" t="s">
        <v>26</v>
      </c>
      <c r="K2" s="132" t="s">
        <v>27</v>
      </c>
      <c r="L2" s="140"/>
      <c r="M2" s="132" t="s">
        <v>28</v>
      </c>
      <c r="N2" s="132" t="s">
        <v>29</v>
      </c>
      <c r="O2" s="132" t="s">
        <v>30</v>
      </c>
      <c r="P2" s="132" t="s">
        <v>31</v>
      </c>
      <c r="Q2" s="132" t="s">
        <v>32</v>
      </c>
      <c r="R2" s="132" t="s">
        <v>33</v>
      </c>
      <c r="S2" s="140"/>
      <c r="T2" s="140"/>
      <c r="U2" s="140"/>
      <c r="V2" s="133" t="s">
        <v>34</v>
      </c>
      <c r="W2" s="133" t="s">
        <v>11</v>
      </c>
      <c r="X2" s="133" t="s">
        <v>35</v>
      </c>
      <c r="Y2" s="132" t="s">
        <v>36</v>
      </c>
      <c r="Z2" s="132" t="s">
        <v>37</v>
      </c>
      <c r="AA2" s="132" t="s">
        <v>38</v>
      </c>
      <c r="AB2" s="132" t="s">
        <v>39</v>
      </c>
      <c r="AC2" s="132" t="s">
        <v>40</v>
      </c>
      <c r="AD2" s="132" t="s">
        <v>41</v>
      </c>
      <c r="AE2" s="132" t="s">
        <v>42</v>
      </c>
      <c r="AF2" s="132" t="s">
        <v>43</v>
      </c>
      <c r="AG2" s="132" t="s">
        <v>44</v>
      </c>
      <c r="AH2" s="132" t="s">
        <v>45</v>
      </c>
      <c r="AI2" s="132" t="s">
        <v>46</v>
      </c>
      <c r="AJ2" s="133" t="s">
        <v>47</v>
      </c>
      <c r="AK2" s="132" t="s">
        <v>48</v>
      </c>
      <c r="AL2" s="132" t="s">
        <v>49</v>
      </c>
      <c r="AM2" s="132" t="s">
        <v>50</v>
      </c>
      <c r="AO2" s="83" t="s">
        <v>51</v>
      </c>
      <c r="AP2" s="98" t="s">
        <v>52</v>
      </c>
      <c r="AQ2" s="132" t="s">
        <v>53</v>
      </c>
      <c r="AR2" s="132" t="s">
        <v>54</v>
      </c>
      <c r="AT2" s="83" t="s">
        <v>55</v>
      </c>
      <c r="AU2" s="83" t="s">
        <v>56</v>
      </c>
      <c r="BD2" s="132" t="s">
        <v>57</v>
      </c>
      <c r="BF2" s="132" t="s">
        <v>58</v>
      </c>
      <c r="BH2" s="132" t="s">
        <v>59</v>
      </c>
      <c r="BJ2" s="132" t="s">
        <v>60</v>
      </c>
      <c r="BL2" s="132" t="s">
        <v>61</v>
      </c>
      <c r="BN2" s="132" t="s">
        <v>62</v>
      </c>
      <c r="BP2" s="132" t="s">
        <v>63</v>
      </c>
      <c r="BR2" s="132" t="s">
        <v>64</v>
      </c>
      <c r="BT2" s="132" t="s">
        <v>65</v>
      </c>
      <c r="BV2" s="132" t="s">
        <v>66</v>
      </c>
      <c r="BX2" s="132" t="s">
        <v>67</v>
      </c>
      <c r="BZ2" s="132" t="s">
        <v>68</v>
      </c>
    </row>
    <row r="3" spans="1:80" x14ac:dyDescent="0.3">
      <c r="A3" s="99">
        <v>44469</v>
      </c>
      <c r="B3" s="23">
        <v>0</v>
      </c>
      <c r="C3" s="23">
        <v>0</v>
      </c>
      <c r="D3" s="86">
        <v>0</v>
      </c>
      <c r="E3" s="86">
        <v>0</v>
      </c>
      <c r="F3" s="23">
        <v>0</v>
      </c>
      <c r="G3" s="23">
        <v>0</v>
      </c>
      <c r="H3" s="22">
        <v>0</v>
      </c>
      <c r="I3" s="23">
        <v>0</v>
      </c>
      <c r="J3" s="23">
        <v>0</v>
      </c>
      <c r="K3" s="89">
        <v>0</v>
      </c>
      <c r="L3" s="87">
        <v>0</v>
      </c>
      <c r="M3" s="23"/>
      <c r="N3" s="23"/>
      <c r="O3" s="22">
        <v>0</v>
      </c>
      <c r="P3" s="23"/>
      <c r="Q3" s="23"/>
      <c r="R3" s="22">
        <v>0.90200000000000002</v>
      </c>
      <c r="S3" s="21">
        <v>0</v>
      </c>
      <c r="T3" s="22">
        <v>0</v>
      </c>
      <c r="U3" s="157">
        <f ca="1">((3.5+1.5*RAND())/24)*(B3+C3)</f>
        <v>0</v>
      </c>
      <c r="V3" s="91"/>
      <c r="W3" s="23">
        <v>0</v>
      </c>
      <c r="X3" s="23">
        <v>0</v>
      </c>
      <c r="Y3" s="100">
        <v>0</v>
      </c>
      <c r="Z3" s="100">
        <v>0</v>
      </c>
      <c r="AA3" s="24"/>
      <c r="AB3" s="23"/>
      <c r="AC3" s="23"/>
      <c r="AD3" s="25">
        <v>0</v>
      </c>
      <c r="AE3" s="25">
        <v>0</v>
      </c>
      <c r="AF3" s="25">
        <v>0</v>
      </c>
      <c r="AG3" s="23"/>
      <c r="AH3" s="23"/>
      <c r="AI3" s="25">
        <v>0</v>
      </c>
      <c r="AJ3" s="100">
        <v>0</v>
      </c>
      <c r="AK3" s="82">
        <v>0</v>
      </c>
      <c r="AL3" s="82">
        <v>0</v>
      </c>
      <c r="AM3" s="82">
        <v>0</v>
      </c>
      <c r="AO3" s="130">
        <v>0</v>
      </c>
      <c r="AP3" s="130">
        <v>0</v>
      </c>
      <c r="AT3" s="130">
        <v>0</v>
      </c>
      <c r="AU3" s="130">
        <v>0</v>
      </c>
      <c r="BD3" s="130">
        <v>1</v>
      </c>
      <c r="BE3">
        <v>0</v>
      </c>
      <c r="BF3">
        <v>2</v>
      </c>
      <c r="BG3" s="130">
        <v>0</v>
      </c>
      <c r="BH3" s="130">
        <v>0</v>
      </c>
      <c r="BJ3">
        <v>1</v>
      </c>
      <c r="BK3">
        <v>0</v>
      </c>
      <c r="BL3">
        <v>2</v>
      </c>
      <c r="BM3">
        <v>0</v>
      </c>
      <c r="BN3" s="130">
        <v>0</v>
      </c>
      <c r="BP3">
        <v>1</v>
      </c>
      <c r="BQ3">
        <v>0</v>
      </c>
      <c r="BR3">
        <v>2</v>
      </c>
      <c r="BS3">
        <v>0</v>
      </c>
      <c r="BT3" s="130">
        <v>0</v>
      </c>
      <c r="BV3">
        <v>1</v>
      </c>
      <c r="BW3">
        <v>0</v>
      </c>
      <c r="BX3">
        <v>2</v>
      </c>
      <c r="BY3">
        <v>0</v>
      </c>
      <c r="BZ3" s="130">
        <v>0</v>
      </c>
      <c r="CB3" s="130">
        <v>0</v>
      </c>
    </row>
    <row r="4" spans="1:80" x14ac:dyDescent="0.3">
      <c r="A4" s="99">
        <v>44470</v>
      </c>
      <c r="B4" s="23">
        <v>0</v>
      </c>
      <c r="C4" s="23">
        <v>0</v>
      </c>
      <c r="D4" s="86">
        <v>0</v>
      </c>
      <c r="E4" s="86">
        <v>0</v>
      </c>
      <c r="F4" s="23">
        <v>0</v>
      </c>
      <c r="G4" s="23">
        <v>0</v>
      </c>
      <c r="H4" s="22">
        <f t="shared" ref="H4:H34" si="0">F4+G4</f>
        <v>0</v>
      </c>
      <c r="I4" s="23">
        <v>0</v>
      </c>
      <c r="J4" s="23">
        <v>0</v>
      </c>
      <c r="K4" s="89">
        <f t="shared" ref="K4:K34" si="1">I4+J4</f>
        <v>0</v>
      </c>
      <c r="L4" s="87">
        <f t="shared" ref="L4:L34" ca="1" si="2">H4-U4</f>
        <v>0</v>
      </c>
      <c r="M4" s="99"/>
      <c r="N4" s="99"/>
      <c r="O4" s="22">
        <f t="shared" ref="O4:O34" si="3">BN4/1000</f>
        <v>0</v>
      </c>
      <c r="P4" s="23"/>
      <c r="Q4" s="23"/>
      <c r="R4" s="22">
        <f t="shared" ref="R4:R34" si="4">BZ4/1000</f>
        <v>0</v>
      </c>
      <c r="S4" s="21">
        <v>0</v>
      </c>
      <c r="T4" s="22">
        <f t="shared" ref="T4:T34" ca="1" si="5">L4-O4</f>
        <v>0</v>
      </c>
      <c r="U4" s="157">
        <f t="shared" ref="U4:U34" ca="1" si="6">((3.5+1.5*RAND())/24)*(B4+C4)</f>
        <v>0</v>
      </c>
      <c r="V4" s="91"/>
      <c r="W4" s="23">
        <v>0</v>
      </c>
      <c r="X4" s="23">
        <v>0</v>
      </c>
      <c r="Y4" s="100">
        <f t="shared" ref="Y4:Y34" si="7">X4/3600</f>
        <v>0</v>
      </c>
      <c r="Z4" s="100">
        <v>0</v>
      </c>
      <c r="AA4" s="24"/>
      <c r="AB4" s="23"/>
      <c r="AC4" s="23"/>
      <c r="AD4" s="25">
        <v>0</v>
      </c>
      <c r="AE4" s="25">
        <f>AD4*186.43/209</f>
        <v>0</v>
      </c>
      <c r="AF4" s="25">
        <v>0</v>
      </c>
      <c r="AG4" s="23"/>
      <c r="AH4" s="23"/>
      <c r="AI4" s="25">
        <f t="shared" ref="AI4:AI34" si="8">AH4-AH3</f>
        <v>0</v>
      </c>
      <c r="AJ4" s="100">
        <v>0</v>
      </c>
      <c r="AK4" s="82">
        <v>0</v>
      </c>
      <c r="AL4" s="82">
        <v>0</v>
      </c>
      <c r="AM4" s="82">
        <v>0</v>
      </c>
      <c r="AO4" s="130">
        <f t="shared" ref="AO4:AO35" si="9">AL4+AN4</f>
        <v>0</v>
      </c>
      <c r="AP4" s="130">
        <f t="shared" ref="AP4:AP35" si="10">AM4+AO4</f>
        <v>0</v>
      </c>
      <c r="AT4" s="130">
        <f t="shared" ref="AT4:AT33" si="11">AQ4+AS4</f>
        <v>0</v>
      </c>
      <c r="AU4" s="130">
        <f t="shared" ref="AU4:AU33" si="12">AR4+AT4</f>
        <v>0</v>
      </c>
      <c r="BD4" s="136">
        <v>1</v>
      </c>
      <c r="BE4">
        <f t="shared" ref="BE4:BE34" si="13">BD4-BD3</f>
        <v>0</v>
      </c>
      <c r="BF4" s="137">
        <v>2</v>
      </c>
      <c r="BG4">
        <f t="shared" ref="BG4:BG34" si="14">BF4-BF3</f>
        <v>0</v>
      </c>
      <c r="BH4" s="130">
        <f t="shared" ref="BH4:BH34" si="15">BE4+BG4</f>
        <v>0</v>
      </c>
      <c r="BJ4" s="137">
        <v>1</v>
      </c>
      <c r="BK4">
        <f t="shared" ref="BK4:BK34" si="16">BJ4-BJ3</f>
        <v>0</v>
      </c>
      <c r="BL4" s="137">
        <v>2</v>
      </c>
      <c r="BM4">
        <f t="shared" ref="BM4:BM34" si="17">BL4-BL3</f>
        <v>0</v>
      </c>
      <c r="BN4" s="130">
        <f t="shared" ref="BN4:BN34" si="18">BK4+BM4</f>
        <v>0</v>
      </c>
      <c r="BP4" s="137">
        <v>1</v>
      </c>
      <c r="BQ4">
        <f t="shared" ref="BQ4:BQ34" si="19">BP4-BP3</f>
        <v>0</v>
      </c>
      <c r="BR4" s="137">
        <v>2</v>
      </c>
      <c r="BS4">
        <f t="shared" ref="BS4:BS33" si="20">BR4-BR3</f>
        <v>0</v>
      </c>
      <c r="BT4" s="130">
        <f t="shared" ref="BT4:BT34" si="21">BQ4+BS4</f>
        <v>0</v>
      </c>
      <c r="BV4" s="137">
        <v>1</v>
      </c>
      <c r="BW4">
        <f t="shared" ref="BW4:BW34" si="22">BV4-BV3</f>
        <v>0</v>
      </c>
      <c r="BX4" s="137">
        <v>2</v>
      </c>
      <c r="BY4">
        <v>0</v>
      </c>
      <c r="BZ4" s="130">
        <f t="shared" ref="BZ4:BZ34" si="23">BW4+BY4</f>
        <v>0</v>
      </c>
      <c r="CB4" s="130">
        <f t="shared" ref="CB4:CB34" si="24">BZ4/1000</f>
        <v>0</v>
      </c>
    </row>
    <row r="5" spans="1:80" x14ac:dyDescent="0.3">
      <c r="A5" s="99">
        <v>44471</v>
      </c>
      <c r="B5" s="23">
        <v>0</v>
      </c>
      <c r="C5" s="23">
        <v>0</v>
      </c>
      <c r="D5" s="86">
        <v>0</v>
      </c>
      <c r="E5" s="86">
        <v>0</v>
      </c>
      <c r="F5" s="23">
        <v>0</v>
      </c>
      <c r="G5" s="23">
        <v>0</v>
      </c>
      <c r="H5" s="22">
        <f t="shared" si="0"/>
        <v>0</v>
      </c>
      <c r="I5" s="23">
        <v>0</v>
      </c>
      <c r="J5" s="23">
        <v>0</v>
      </c>
      <c r="K5" s="89">
        <f t="shared" si="1"/>
        <v>0</v>
      </c>
      <c r="L5" s="87">
        <f t="shared" ca="1" si="2"/>
        <v>0</v>
      </c>
      <c r="M5" s="23"/>
      <c r="N5" s="23"/>
      <c r="O5" s="22">
        <f t="shared" si="3"/>
        <v>0</v>
      </c>
      <c r="P5" s="23"/>
      <c r="Q5" s="23"/>
      <c r="R5" s="22">
        <f t="shared" si="4"/>
        <v>0</v>
      </c>
      <c r="S5" s="21">
        <v>0</v>
      </c>
      <c r="T5" s="22">
        <f t="shared" ca="1" si="5"/>
        <v>0</v>
      </c>
      <c r="U5" s="157">
        <f t="shared" ca="1" si="6"/>
        <v>0</v>
      </c>
      <c r="V5" s="91"/>
      <c r="W5" s="23">
        <v>0</v>
      </c>
      <c r="X5" s="23">
        <v>0</v>
      </c>
      <c r="Y5" s="100">
        <f t="shared" si="7"/>
        <v>0</v>
      </c>
      <c r="Z5" s="100">
        <v>0</v>
      </c>
      <c r="AA5" s="24"/>
      <c r="AB5" s="23"/>
      <c r="AC5" s="23"/>
      <c r="AD5" s="25">
        <v>0</v>
      </c>
      <c r="AE5" s="25">
        <f>AD5*186.43/209</f>
        <v>0</v>
      </c>
      <c r="AF5" s="25">
        <v>0</v>
      </c>
      <c r="AG5" s="23"/>
      <c r="AH5" s="23"/>
      <c r="AI5" s="25">
        <f t="shared" si="8"/>
        <v>0</v>
      </c>
      <c r="AJ5" s="100">
        <v>0</v>
      </c>
      <c r="AK5" s="82">
        <v>0</v>
      </c>
      <c r="AL5" s="82">
        <v>0</v>
      </c>
      <c r="AM5" s="82">
        <v>0</v>
      </c>
      <c r="AO5" s="130">
        <f t="shared" si="9"/>
        <v>0</v>
      </c>
      <c r="AP5" s="130">
        <f t="shared" si="10"/>
        <v>0</v>
      </c>
      <c r="AT5" s="130">
        <f t="shared" si="11"/>
        <v>0</v>
      </c>
      <c r="AU5" s="130">
        <f t="shared" si="12"/>
        <v>0</v>
      </c>
      <c r="BD5" s="136">
        <v>1</v>
      </c>
      <c r="BE5">
        <f t="shared" si="13"/>
        <v>0</v>
      </c>
      <c r="BF5" s="137">
        <v>2</v>
      </c>
      <c r="BG5">
        <f t="shared" si="14"/>
        <v>0</v>
      </c>
      <c r="BH5" s="130">
        <f t="shared" si="15"/>
        <v>0</v>
      </c>
      <c r="BJ5" s="137">
        <v>1</v>
      </c>
      <c r="BK5">
        <f t="shared" si="16"/>
        <v>0</v>
      </c>
      <c r="BL5" s="137">
        <v>2</v>
      </c>
      <c r="BM5">
        <f t="shared" si="17"/>
        <v>0</v>
      </c>
      <c r="BN5" s="130">
        <f t="shared" si="18"/>
        <v>0</v>
      </c>
      <c r="BP5" s="137">
        <v>1</v>
      </c>
      <c r="BQ5">
        <f t="shared" si="19"/>
        <v>0</v>
      </c>
      <c r="BR5" s="137">
        <v>2</v>
      </c>
      <c r="BS5">
        <f t="shared" si="20"/>
        <v>0</v>
      </c>
      <c r="BT5" s="130">
        <f t="shared" si="21"/>
        <v>0</v>
      </c>
      <c r="BV5" s="137">
        <v>1</v>
      </c>
      <c r="BW5">
        <f t="shared" si="22"/>
        <v>0</v>
      </c>
      <c r="BX5" s="137">
        <v>2</v>
      </c>
      <c r="BY5">
        <f t="shared" ref="BY4:BY34" si="25">BX5-BX4</f>
        <v>0</v>
      </c>
      <c r="BZ5" s="130">
        <f t="shared" si="23"/>
        <v>0</v>
      </c>
      <c r="CB5" s="130">
        <f t="shared" si="24"/>
        <v>0</v>
      </c>
    </row>
    <row r="6" spans="1:80" x14ac:dyDescent="0.3">
      <c r="A6" s="99">
        <v>44472</v>
      </c>
      <c r="B6" s="23">
        <v>0</v>
      </c>
      <c r="C6" s="23">
        <v>0</v>
      </c>
      <c r="D6" s="86">
        <v>0</v>
      </c>
      <c r="E6" s="86">
        <v>0</v>
      </c>
      <c r="F6" s="23">
        <v>0</v>
      </c>
      <c r="G6" s="23">
        <v>0</v>
      </c>
      <c r="H6" s="22">
        <f t="shared" si="0"/>
        <v>0</v>
      </c>
      <c r="I6" s="23">
        <v>0</v>
      </c>
      <c r="J6" s="23">
        <v>0</v>
      </c>
      <c r="K6" s="89">
        <f t="shared" si="1"/>
        <v>0</v>
      </c>
      <c r="L6" s="87">
        <f t="shared" ca="1" si="2"/>
        <v>0</v>
      </c>
      <c r="M6" s="23"/>
      <c r="N6" s="23"/>
      <c r="O6" s="22">
        <f t="shared" si="3"/>
        <v>0</v>
      </c>
      <c r="P6" s="23"/>
      <c r="Q6" s="23"/>
      <c r="R6" s="22">
        <f t="shared" si="4"/>
        <v>0</v>
      </c>
      <c r="S6" s="21">
        <v>0</v>
      </c>
      <c r="T6" s="22">
        <f t="shared" ca="1" si="5"/>
        <v>0</v>
      </c>
      <c r="U6" s="157">
        <f t="shared" ca="1" si="6"/>
        <v>0</v>
      </c>
      <c r="V6" s="91"/>
      <c r="W6" s="23">
        <v>0</v>
      </c>
      <c r="X6" s="23">
        <v>0</v>
      </c>
      <c r="Y6" s="100">
        <f t="shared" si="7"/>
        <v>0</v>
      </c>
      <c r="Z6" s="100">
        <v>0</v>
      </c>
      <c r="AA6" s="24"/>
      <c r="AB6" s="23"/>
      <c r="AC6" s="23"/>
      <c r="AD6" s="25">
        <f>AB5-AB6+AC6</f>
        <v>0</v>
      </c>
      <c r="AE6" s="25">
        <f>AD6*186.43/209</f>
        <v>0</v>
      </c>
      <c r="AF6" s="25">
        <v>0</v>
      </c>
      <c r="AG6" s="23"/>
      <c r="AH6" s="23"/>
      <c r="AI6" s="25">
        <f t="shared" si="8"/>
        <v>0</v>
      </c>
      <c r="AJ6" s="100">
        <v>0</v>
      </c>
      <c r="AK6" s="82">
        <v>0</v>
      </c>
      <c r="AL6" s="82">
        <v>0</v>
      </c>
      <c r="AM6" s="82">
        <v>0</v>
      </c>
      <c r="AO6" s="130">
        <f t="shared" si="9"/>
        <v>0</v>
      </c>
      <c r="AP6" s="130">
        <f t="shared" si="10"/>
        <v>0</v>
      </c>
      <c r="AT6" s="130">
        <f t="shared" si="11"/>
        <v>0</v>
      </c>
      <c r="AU6" s="130">
        <f t="shared" si="12"/>
        <v>0</v>
      </c>
      <c r="BD6" s="136">
        <v>1</v>
      </c>
      <c r="BE6">
        <f t="shared" si="13"/>
        <v>0</v>
      </c>
      <c r="BF6" s="137">
        <v>2</v>
      </c>
      <c r="BG6">
        <f t="shared" si="14"/>
        <v>0</v>
      </c>
      <c r="BH6" s="130">
        <f t="shared" si="15"/>
        <v>0</v>
      </c>
      <c r="BJ6" s="137">
        <v>1</v>
      </c>
      <c r="BK6">
        <f t="shared" si="16"/>
        <v>0</v>
      </c>
      <c r="BL6" s="137">
        <v>2</v>
      </c>
      <c r="BM6">
        <f t="shared" si="17"/>
        <v>0</v>
      </c>
      <c r="BN6" s="130">
        <f t="shared" si="18"/>
        <v>0</v>
      </c>
      <c r="BP6" s="137">
        <v>1</v>
      </c>
      <c r="BQ6">
        <f t="shared" si="19"/>
        <v>0</v>
      </c>
      <c r="BR6" s="137">
        <v>2</v>
      </c>
      <c r="BS6">
        <f t="shared" si="20"/>
        <v>0</v>
      </c>
      <c r="BT6" s="130">
        <f t="shared" si="21"/>
        <v>0</v>
      </c>
      <c r="BV6" s="137">
        <v>1</v>
      </c>
      <c r="BW6">
        <f t="shared" si="22"/>
        <v>0</v>
      </c>
      <c r="BX6" s="137">
        <v>2</v>
      </c>
      <c r="BY6">
        <f t="shared" si="25"/>
        <v>0</v>
      </c>
      <c r="BZ6" s="130">
        <f t="shared" si="23"/>
        <v>0</v>
      </c>
      <c r="CB6" s="130">
        <f t="shared" si="24"/>
        <v>0</v>
      </c>
    </row>
    <row r="7" spans="1:80" x14ac:dyDescent="0.3">
      <c r="A7" s="99">
        <v>44473</v>
      </c>
      <c r="B7" s="23">
        <v>0</v>
      </c>
      <c r="C7" s="23">
        <v>0</v>
      </c>
      <c r="D7" s="86">
        <v>0</v>
      </c>
      <c r="E7" s="86">
        <v>0</v>
      </c>
      <c r="F7" s="23">
        <v>0</v>
      </c>
      <c r="G7" s="23">
        <v>0</v>
      </c>
      <c r="H7" s="22">
        <f t="shared" si="0"/>
        <v>0</v>
      </c>
      <c r="I7" s="23">
        <v>0</v>
      </c>
      <c r="J7" s="23">
        <v>0</v>
      </c>
      <c r="K7" s="89">
        <f t="shared" si="1"/>
        <v>0</v>
      </c>
      <c r="L7" s="87">
        <f t="shared" ca="1" si="2"/>
        <v>0</v>
      </c>
      <c r="M7" s="23"/>
      <c r="N7" s="23"/>
      <c r="O7" s="22">
        <f t="shared" si="3"/>
        <v>0</v>
      </c>
      <c r="P7" s="23"/>
      <c r="Q7" s="23"/>
      <c r="R7" s="22">
        <f t="shared" si="4"/>
        <v>0</v>
      </c>
      <c r="S7" s="21" t="e">
        <f t="shared" ref="S7:S35" si="26">O7/H7</f>
        <v>#DIV/0!</v>
      </c>
      <c r="T7" s="22">
        <f t="shared" ca="1" si="5"/>
        <v>0</v>
      </c>
      <c r="U7" s="157">
        <f t="shared" ca="1" si="6"/>
        <v>0</v>
      </c>
      <c r="V7" s="92"/>
      <c r="W7" s="23">
        <v>0</v>
      </c>
      <c r="X7" s="23">
        <v>0</v>
      </c>
      <c r="Y7" s="100">
        <f t="shared" si="7"/>
        <v>0</v>
      </c>
      <c r="Z7" s="100" t="e">
        <f t="shared" ref="Z7:Z33" si="27">X7/H7</f>
        <v>#DIV/0!</v>
      </c>
      <c r="AA7" s="24"/>
      <c r="AB7" s="23"/>
      <c r="AC7" s="23"/>
      <c r="AD7" s="25">
        <f>AB6-AB7+AC7</f>
        <v>0</v>
      </c>
      <c r="AE7" s="25">
        <v>0</v>
      </c>
      <c r="AF7" s="25">
        <v>0</v>
      </c>
      <c r="AG7" s="23"/>
      <c r="AH7" s="23"/>
      <c r="AI7" s="25">
        <f t="shared" si="8"/>
        <v>0</v>
      </c>
      <c r="AJ7" s="100">
        <v>0</v>
      </c>
      <c r="AK7" s="82" t="e">
        <f t="shared" ref="AK7:AK35" si="28">H7/Y7*100</f>
        <v>#DIV/0!</v>
      </c>
      <c r="AL7" s="82" t="e">
        <f t="shared" ref="AL7:AL35" si="29">AJ7/Y7*100</f>
        <v>#DIV/0!</v>
      </c>
      <c r="AM7" s="82" t="e">
        <f t="shared" ref="AM7:AM35" si="30">(H7+AJ7)/Y7*100</f>
        <v>#DIV/0!</v>
      </c>
      <c r="AO7" s="130" t="e">
        <f t="shared" si="9"/>
        <v>#DIV/0!</v>
      </c>
      <c r="AP7" s="130" t="e">
        <f t="shared" si="10"/>
        <v>#DIV/0!</v>
      </c>
      <c r="AT7" s="130">
        <f t="shared" si="11"/>
        <v>0</v>
      </c>
      <c r="AU7" s="130">
        <f t="shared" si="12"/>
        <v>0</v>
      </c>
      <c r="BD7" s="136">
        <v>1</v>
      </c>
      <c r="BE7">
        <f t="shared" si="13"/>
        <v>0</v>
      </c>
      <c r="BF7" s="137">
        <v>2</v>
      </c>
      <c r="BG7">
        <f t="shared" si="14"/>
        <v>0</v>
      </c>
      <c r="BH7" s="130">
        <f t="shared" si="15"/>
        <v>0</v>
      </c>
      <c r="BJ7" s="137">
        <v>1</v>
      </c>
      <c r="BK7">
        <f t="shared" si="16"/>
        <v>0</v>
      </c>
      <c r="BL7" s="137">
        <v>2</v>
      </c>
      <c r="BM7">
        <f t="shared" si="17"/>
        <v>0</v>
      </c>
      <c r="BN7" s="130">
        <f t="shared" si="18"/>
        <v>0</v>
      </c>
      <c r="BP7" s="137">
        <v>1</v>
      </c>
      <c r="BQ7">
        <f t="shared" si="19"/>
        <v>0</v>
      </c>
      <c r="BR7" s="137">
        <v>2</v>
      </c>
      <c r="BS7">
        <f t="shared" si="20"/>
        <v>0</v>
      </c>
      <c r="BT7" s="130">
        <f t="shared" si="21"/>
        <v>0</v>
      </c>
      <c r="BV7" s="137">
        <v>1</v>
      </c>
      <c r="BW7">
        <f t="shared" si="22"/>
        <v>0</v>
      </c>
      <c r="BX7" s="137">
        <v>2</v>
      </c>
      <c r="BY7">
        <f t="shared" si="25"/>
        <v>0</v>
      </c>
      <c r="BZ7" s="130">
        <f t="shared" si="23"/>
        <v>0</v>
      </c>
      <c r="CB7" s="130">
        <f t="shared" si="24"/>
        <v>0</v>
      </c>
    </row>
    <row r="8" spans="1:80" x14ac:dyDescent="0.3">
      <c r="A8" s="99">
        <v>44474</v>
      </c>
      <c r="B8" s="23">
        <v>0</v>
      </c>
      <c r="C8" s="23">
        <v>0</v>
      </c>
      <c r="D8" s="86">
        <v>0</v>
      </c>
      <c r="E8" s="86">
        <v>0</v>
      </c>
      <c r="F8" s="23">
        <v>0</v>
      </c>
      <c r="G8" s="23">
        <v>0</v>
      </c>
      <c r="H8" s="22">
        <f t="shared" si="0"/>
        <v>0</v>
      </c>
      <c r="I8" s="23">
        <v>0</v>
      </c>
      <c r="J8" s="23">
        <v>0</v>
      </c>
      <c r="K8" s="89">
        <f t="shared" si="1"/>
        <v>0</v>
      </c>
      <c r="L8" s="87">
        <f t="shared" ca="1" si="2"/>
        <v>0</v>
      </c>
      <c r="M8" s="23"/>
      <c r="N8" s="23"/>
      <c r="O8" s="22">
        <f t="shared" si="3"/>
        <v>0</v>
      </c>
      <c r="P8" s="23"/>
      <c r="Q8" s="23"/>
      <c r="R8" s="22">
        <f t="shared" si="4"/>
        <v>0</v>
      </c>
      <c r="S8" s="21">
        <v>0</v>
      </c>
      <c r="T8" s="22">
        <f t="shared" ca="1" si="5"/>
        <v>0</v>
      </c>
      <c r="U8" s="157">
        <f t="shared" ca="1" si="6"/>
        <v>0</v>
      </c>
      <c r="V8" s="91"/>
      <c r="W8" s="23">
        <v>0</v>
      </c>
      <c r="X8" s="23">
        <v>0</v>
      </c>
      <c r="Y8" s="100">
        <f t="shared" si="7"/>
        <v>0</v>
      </c>
      <c r="Z8" s="100">
        <v>0</v>
      </c>
      <c r="AA8" s="24"/>
      <c r="AB8" s="23"/>
      <c r="AC8" s="23"/>
      <c r="AD8" s="25">
        <v>0</v>
      </c>
      <c r="AE8" s="25">
        <f t="shared" ref="AE8:AE33" si="31">AD8*186.43/209</f>
        <v>0</v>
      </c>
      <c r="AF8" s="25">
        <v>0</v>
      </c>
      <c r="AG8" s="23"/>
      <c r="AH8" s="23"/>
      <c r="AI8" s="25">
        <f t="shared" si="8"/>
        <v>0</v>
      </c>
      <c r="AJ8" s="100">
        <v>0</v>
      </c>
      <c r="AK8" s="82">
        <v>0</v>
      </c>
      <c r="AL8" s="82">
        <v>0</v>
      </c>
      <c r="AM8" s="82">
        <v>0</v>
      </c>
      <c r="AO8" s="130">
        <f t="shared" si="9"/>
        <v>0</v>
      </c>
      <c r="AP8" s="130">
        <f t="shared" si="10"/>
        <v>0</v>
      </c>
      <c r="AT8" s="130">
        <f t="shared" si="11"/>
        <v>0</v>
      </c>
      <c r="AU8" s="130">
        <f t="shared" si="12"/>
        <v>0</v>
      </c>
      <c r="BD8" s="136">
        <v>1</v>
      </c>
      <c r="BE8">
        <f t="shared" si="13"/>
        <v>0</v>
      </c>
      <c r="BF8" s="137">
        <v>2</v>
      </c>
      <c r="BG8">
        <f t="shared" si="14"/>
        <v>0</v>
      </c>
      <c r="BH8" s="130">
        <f t="shared" si="15"/>
        <v>0</v>
      </c>
      <c r="BJ8" s="137">
        <v>1</v>
      </c>
      <c r="BK8">
        <f t="shared" si="16"/>
        <v>0</v>
      </c>
      <c r="BL8" s="137">
        <v>2</v>
      </c>
      <c r="BM8">
        <f t="shared" si="17"/>
        <v>0</v>
      </c>
      <c r="BN8" s="130">
        <f t="shared" si="18"/>
        <v>0</v>
      </c>
      <c r="BP8" s="137">
        <v>1</v>
      </c>
      <c r="BQ8">
        <f t="shared" si="19"/>
        <v>0</v>
      </c>
      <c r="BR8" s="137">
        <v>2</v>
      </c>
      <c r="BS8">
        <f t="shared" si="20"/>
        <v>0</v>
      </c>
      <c r="BT8" s="130">
        <f t="shared" si="21"/>
        <v>0</v>
      </c>
      <c r="BV8" s="137">
        <v>1</v>
      </c>
      <c r="BW8">
        <f t="shared" si="22"/>
        <v>0</v>
      </c>
      <c r="BX8" s="137">
        <v>2</v>
      </c>
      <c r="BY8">
        <f t="shared" si="25"/>
        <v>0</v>
      </c>
      <c r="BZ8" s="130">
        <f t="shared" si="23"/>
        <v>0</v>
      </c>
      <c r="CB8" s="130">
        <f t="shared" si="24"/>
        <v>0</v>
      </c>
    </row>
    <row r="9" spans="1:80" x14ac:dyDescent="0.3">
      <c r="A9" s="99">
        <v>44475</v>
      </c>
      <c r="B9" s="23">
        <v>0</v>
      </c>
      <c r="C9" s="23">
        <v>0</v>
      </c>
      <c r="D9" s="86">
        <v>0</v>
      </c>
      <c r="E9" s="86">
        <v>0</v>
      </c>
      <c r="F9" s="23">
        <v>0</v>
      </c>
      <c r="G9" s="23">
        <v>0</v>
      </c>
      <c r="H9" s="22">
        <f t="shared" si="0"/>
        <v>0</v>
      </c>
      <c r="I9" s="23">
        <v>0</v>
      </c>
      <c r="J9" s="23">
        <v>0</v>
      </c>
      <c r="K9" s="89">
        <f t="shared" si="1"/>
        <v>0</v>
      </c>
      <c r="L9" s="87">
        <f t="shared" ca="1" si="2"/>
        <v>0</v>
      </c>
      <c r="M9" s="23"/>
      <c r="N9" s="23"/>
      <c r="O9" s="22">
        <f t="shared" si="3"/>
        <v>0</v>
      </c>
      <c r="P9" s="23"/>
      <c r="Q9" s="23"/>
      <c r="R9" s="22">
        <f t="shared" si="4"/>
        <v>0</v>
      </c>
      <c r="S9" s="21" t="e">
        <f t="shared" si="26"/>
        <v>#DIV/0!</v>
      </c>
      <c r="T9" s="22">
        <f t="shared" ca="1" si="5"/>
        <v>0</v>
      </c>
      <c r="U9" s="157">
        <f t="shared" ca="1" si="6"/>
        <v>0</v>
      </c>
      <c r="V9" s="91"/>
      <c r="W9" s="23">
        <v>0</v>
      </c>
      <c r="X9" s="23">
        <v>0</v>
      </c>
      <c r="Y9" s="100">
        <f t="shared" si="7"/>
        <v>0</v>
      </c>
      <c r="Z9" s="100" t="e">
        <f t="shared" si="27"/>
        <v>#DIV/0!</v>
      </c>
      <c r="AA9" s="24"/>
      <c r="AB9" s="23"/>
      <c r="AC9" s="23"/>
      <c r="AD9" s="25">
        <f>AB8-AB9+AC9</f>
        <v>0</v>
      </c>
      <c r="AE9" s="25">
        <f t="shared" si="31"/>
        <v>0</v>
      </c>
      <c r="AF9" s="25">
        <v>0</v>
      </c>
      <c r="AG9" s="23"/>
      <c r="AH9" s="23"/>
      <c r="AI9" s="25">
        <f t="shared" si="8"/>
        <v>0</v>
      </c>
      <c r="AJ9" s="100">
        <v>0</v>
      </c>
      <c r="AK9" s="82" t="e">
        <f t="shared" si="28"/>
        <v>#DIV/0!</v>
      </c>
      <c r="AL9" s="82" t="e">
        <f t="shared" si="29"/>
        <v>#DIV/0!</v>
      </c>
      <c r="AM9" s="82" t="e">
        <f t="shared" si="30"/>
        <v>#DIV/0!</v>
      </c>
      <c r="AO9" s="130" t="e">
        <f t="shared" si="9"/>
        <v>#DIV/0!</v>
      </c>
      <c r="AP9" s="130" t="e">
        <f t="shared" si="10"/>
        <v>#DIV/0!</v>
      </c>
      <c r="AT9" s="130">
        <f t="shared" si="11"/>
        <v>0</v>
      </c>
      <c r="AU9" s="130">
        <f t="shared" si="12"/>
        <v>0</v>
      </c>
      <c r="BD9" s="136">
        <v>1</v>
      </c>
      <c r="BE9">
        <f t="shared" si="13"/>
        <v>0</v>
      </c>
      <c r="BF9" s="137">
        <v>2</v>
      </c>
      <c r="BG9">
        <f t="shared" si="14"/>
        <v>0</v>
      </c>
      <c r="BH9" s="130">
        <f t="shared" si="15"/>
        <v>0</v>
      </c>
      <c r="BJ9" s="137">
        <v>1</v>
      </c>
      <c r="BK9">
        <f t="shared" si="16"/>
        <v>0</v>
      </c>
      <c r="BL9" s="137">
        <v>2</v>
      </c>
      <c r="BM9">
        <f t="shared" si="17"/>
        <v>0</v>
      </c>
      <c r="BN9" s="130">
        <f t="shared" si="18"/>
        <v>0</v>
      </c>
      <c r="BP9" s="137">
        <v>1</v>
      </c>
      <c r="BQ9">
        <f t="shared" si="19"/>
        <v>0</v>
      </c>
      <c r="BR9" s="137">
        <v>2</v>
      </c>
      <c r="BS9">
        <f t="shared" si="20"/>
        <v>0</v>
      </c>
      <c r="BT9" s="130">
        <f t="shared" si="21"/>
        <v>0</v>
      </c>
      <c r="BV9" s="137">
        <v>1</v>
      </c>
      <c r="BW9">
        <f t="shared" si="22"/>
        <v>0</v>
      </c>
      <c r="BX9" s="137">
        <v>2</v>
      </c>
      <c r="BY9">
        <f t="shared" si="25"/>
        <v>0</v>
      </c>
      <c r="BZ9" s="130">
        <f t="shared" si="23"/>
        <v>0</v>
      </c>
      <c r="CB9" s="130">
        <f t="shared" si="24"/>
        <v>0</v>
      </c>
    </row>
    <row r="10" spans="1:80" x14ac:dyDescent="0.3">
      <c r="A10" s="99">
        <v>44476</v>
      </c>
      <c r="B10" s="23">
        <v>0</v>
      </c>
      <c r="C10" s="23">
        <v>0</v>
      </c>
      <c r="D10" s="86">
        <v>0</v>
      </c>
      <c r="E10" s="86">
        <v>0</v>
      </c>
      <c r="F10" s="23">
        <v>0</v>
      </c>
      <c r="G10" s="23">
        <v>0</v>
      </c>
      <c r="H10" s="22">
        <f t="shared" si="0"/>
        <v>0</v>
      </c>
      <c r="I10" s="23">
        <v>0</v>
      </c>
      <c r="J10" s="130">
        <v>0</v>
      </c>
      <c r="K10" s="89">
        <f t="shared" si="1"/>
        <v>0</v>
      </c>
      <c r="L10" s="87">
        <f t="shared" ca="1" si="2"/>
        <v>0</v>
      </c>
      <c r="M10" s="23"/>
      <c r="N10" s="23"/>
      <c r="O10" s="22">
        <f t="shared" si="3"/>
        <v>0</v>
      </c>
      <c r="P10" s="23"/>
      <c r="Q10" s="23"/>
      <c r="R10" s="22">
        <f t="shared" si="4"/>
        <v>0</v>
      </c>
      <c r="S10" s="21">
        <v>0</v>
      </c>
      <c r="T10" s="22">
        <f t="shared" ca="1" si="5"/>
        <v>0</v>
      </c>
      <c r="U10" s="157">
        <f t="shared" ca="1" si="6"/>
        <v>0</v>
      </c>
      <c r="V10" s="91"/>
      <c r="W10" s="23">
        <v>0</v>
      </c>
      <c r="X10" s="23">
        <v>0</v>
      </c>
      <c r="Y10" s="100">
        <f t="shared" si="7"/>
        <v>0</v>
      </c>
      <c r="Z10" s="100">
        <v>0</v>
      </c>
      <c r="AA10" s="24"/>
      <c r="AB10" s="23"/>
      <c r="AC10" s="23"/>
      <c r="AD10" s="25">
        <f>AB9-AB10+AC10</f>
        <v>0</v>
      </c>
      <c r="AE10" s="25">
        <f t="shared" si="31"/>
        <v>0</v>
      </c>
      <c r="AF10" s="25">
        <v>0</v>
      </c>
      <c r="AG10" s="23"/>
      <c r="AH10" s="23"/>
      <c r="AI10" s="25">
        <f t="shared" si="8"/>
        <v>0</v>
      </c>
      <c r="AJ10" s="100">
        <v>0</v>
      </c>
      <c r="AK10" s="82">
        <v>0</v>
      </c>
      <c r="AL10" s="82">
        <v>0</v>
      </c>
      <c r="AM10" s="82">
        <v>0</v>
      </c>
      <c r="AO10" s="130">
        <f t="shared" si="9"/>
        <v>0</v>
      </c>
      <c r="AP10" s="130">
        <f t="shared" si="10"/>
        <v>0</v>
      </c>
      <c r="AT10" s="130">
        <f t="shared" si="11"/>
        <v>0</v>
      </c>
      <c r="AU10" s="130">
        <f t="shared" si="12"/>
        <v>0</v>
      </c>
      <c r="BD10" s="136">
        <v>1</v>
      </c>
      <c r="BE10">
        <f t="shared" si="13"/>
        <v>0</v>
      </c>
      <c r="BF10" s="137">
        <v>2</v>
      </c>
      <c r="BG10">
        <f t="shared" si="14"/>
        <v>0</v>
      </c>
      <c r="BH10" s="130">
        <f t="shared" si="15"/>
        <v>0</v>
      </c>
      <c r="BJ10" s="137">
        <v>1</v>
      </c>
      <c r="BK10">
        <f t="shared" si="16"/>
        <v>0</v>
      </c>
      <c r="BL10" s="137">
        <v>2</v>
      </c>
      <c r="BM10">
        <f t="shared" si="17"/>
        <v>0</v>
      </c>
      <c r="BN10" s="130">
        <f t="shared" si="18"/>
        <v>0</v>
      </c>
      <c r="BP10" s="137">
        <v>1</v>
      </c>
      <c r="BQ10">
        <f t="shared" si="19"/>
        <v>0</v>
      </c>
      <c r="BR10" s="137">
        <v>2</v>
      </c>
      <c r="BS10">
        <f t="shared" si="20"/>
        <v>0</v>
      </c>
      <c r="BT10" s="130">
        <f t="shared" si="21"/>
        <v>0</v>
      </c>
      <c r="BV10" s="137">
        <v>1</v>
      </c>
      <c r="BW10">
        <f t="shared" si="22"/>
        <v>0</v>
      </c>
      <c r="BX10" s="137">
        <v>2</v>
      </c>
      <c r="BY10">
        <f t="shared" si="25"/>
        <v>0</v>
      </c>
      <c r="BZ10" s="130">
        <f t="shared" si="23"/>
        <v>0</v>
      </c>
      <c r="CB10" s="130">
        <f t="shared" si="24"/>
        <v>0</v>
      </c>
    </row>
    <row r="11" spans="1:80" x14ac:dyDescent="0.3">
      <c r="A11" s="99">
        <v>44477</v>
      </c>
      <c r="B11" s="23">
        <v>0</v>
      </c>
      <c r="C11" s="23">
        <v>0</v>
      </c>
      <c r="D11" s="86">
        <v>0</v>
      </c>
      <c r="E11" s="86">
        <v>0</v>
      </c>
      <c r="F11" s="23">
        <v>0</v>
      </c>
      <c r="G11" s="23">
        <v>0</v>
      </c>
      <c r="H11" s="22">
        <f t="shared" si="0"/>
        <v>0</v>
      </c>
      <c r="I11" s="23">
        <v>0</v>
      </c>
      <c r="J11" s="23">
        <v>0</v>
      </c>
      <c r="K11" s="89">
        <f t="shared" si="1"/>
        <v>0</v>
      </c>
      <c r="L11" s="87">
        <f t="shared" ca="1" si="2"/>
        <v>0</v>
      </c>
      <c r="M11" s="23"/>
      <c r="N11" s="23"/>
      <c r="O11" s="22">
        <f t="shared" si="3"/>
        <v>0</v>
      </c>
      <c r="P11" s="23"/>
      <c r="Q11" s="23"/>
      <c r="R11" s="22">
        <f t="shared" si="4"/>
        <v>0</v>
      </c>
      <c r="S11" s="21">
        <v>0</v>
      </c>
      <c r="T11" s="22">
        <f t="shared" ca="1" si="5"/>
        <v>0</v>
      </c>
      <c r="U11" s="157">
        <f t="shared" ca="1" si="6"/>
        <v>0</v>
      </c>
      <c r="V11" s="91"/>
      <c r="W11" s="23">
        <v>0</v>
      </c>
      <c r="X11" s="23">
        <v>0</v>
      </c>
      <c r="Y11" s="100">
        <f t="shared" si="7"/>
        <v>0</v>
      </c>
      <c r="Z11" s="100">
        <v>0</v>
      </c>
      <c r="AA11" s="24"/>
      <c r="AB11" s="23"/>
      <c r="AC11" s="23"/>
      <c r="AD11" s="25">
        <v>0</v>
      </c>
      <c r="AE11" s="25">
        <f t="shared" si="31"/>
        <v>0</v>
      </c>
      <c r="AF11" s="25">
        <v>0</v>
      </c>
      <c r="AG11" s="23"/>
      <c r="AH11" s="23"/>
      <c r="AI11" s="25">
        <f t="shared" si="8"/>
        <v>0</v>
      </c>
      <c r="AJ11" s="100">
        <v>0</v>
      </c>
      <c r="AK11" s="82">
        <v>0</v>
      </c>
      <c r="AL11" s="82">
        <v>0</v>
      </c>
      <c r="AM11" s="82">
        <v>0</v>
      </c>
      <c r="AO11" s="130">
        <f t="shared" si="9"/>
        <v>0</v>
      </c>
      <c r="AP11" s="130">
        <f t="shared" si="10"/>
        <v>0</v>
      </c>
      <c r="AT11" s="130">
        <f t="shared" si="11"/>
        <v>0</v>
      </c>
      <c r="AU11" s="130">
        <f t="shared" si="12"/>
        <v>0</v>
      </c>
      <c r="BD11" s="136">
        <v>1</v>
      </c>
      <c r="BE11">
        <f t="shared" si="13"/>
        <v>0</v>
      </c>
      <c r="BF11" s="137">
        <v>2</v>
      </c>
      <c r="BG11">
        <f t="shared" si="14"/>
        <v>0</v>
      </c>
      <c r="BH11" s="130">
        <f t="shared" si="15"/>
        <v>0</v>
      </c>
      <c r="BJ11" s="137">
        <v>1</v>
      </c>
      <c r="BK11">
        <f t="shared" si="16"/>
        <v>0</v>
      </c>
      <c r="BL11" s="137">
        <v>2</v>
      </c>
      <c r="BM11">
        <f t="shared" si="17"/>
        <v>0</v>
      </c>
      <c r="BN11" s="130">
        <f t="shared" si="18"/>
        <v>0</v>
      </c>
      <c r="BP11" s="137">
        <v>1</v>
      </c>
      <c r="BQ11">
        <f t="shared" si="19"/>
        <v>0</v>
      </c>
      <c r="BR11" s="137">
        <v>2</v>
      </c>
      <c r="BS11">
        <f t="shared" si="20"/>
        <v>0</v>
      </c>
      <c r="BT11" s="130">
        <f t="shared" si="21"/>
        <v>0</v>
      </c>
      <c r="BV11" s="137">
        <v>1</v>
      </c>
      <c r="BW11">
        <f t="shared" si="22"/>
        <v>0</v>
      </c>
      <c r="BX11" s="137">
        <v>2</v>
      </c>
      <c r="BY11">
        <f t="shared" si="25"/>
        <v>0</v>
      </c>
      <c r="BZ11" s="130">
        <f t="shared" si="23"/>
        <v>0</v>
      </c>
      <c r="CB11" s="130">
        <f t="shared" si="24"/>
        <v>0</v>
      </c>
    </row>
    <row r="12" spans="1:80" x14ac:dyDescent="0.3">
      <c r="A12" s="99">
        <v>44478</v>
      </c>
      <c r="B12" s="23">
        <v>0</v>
      </c>
      <c r="C12" s="23">
        <v>0</v>
      </c>
      <c r="D12" s="86">
        <v>0</v>
      </c>
      <c r="E12" s="86">
        <v>0</v>
      </c>
      <c r="F12" s="23">
        <v>0</v>
      </c>
      <c r="G12" s="23">
        <v>0</v>
      </c>
      <c r="H12" s="22">
        <f t="shared" si="0"/>
        <v>0</v>
      </c>
      <c r="I12" s="23">
        <v>0</v>
      </c>
      <c r="J12" s="23">
        <v>0</v>
      </c>
      <c r="K12" s="89">
        <f t="shared" si="1"/>
        <v>0</v>
      </c>
      <c r="L12" s="87">
        <f t="shared" ca="1" si="2"/>
        <v>0</v>
      </c>
      <c r="M12" s="23"/>
      <c r="N12" s="23"/>
      <c r="O12" s="22">
        <f t="shared" si="3"/>
        <v>0</v>
      </c>
      <c r="P12" s="23"/>
      <c r="Q12" s="23"/>
      <c r="R12" s="22">
        <f t="shared" si="4"/>
        <v>0</v>
      </c>
      <c r="S12" s="21" t="e">
        <f t="shared" si="26"/>
        <v>#DIV/0!</v>
      </c>
      <c r="T12" s="22">
        <f t="shared" ca="1" si="5"/>
        <v>0</v>
      </c>
      <c r="U12" s="157">
        <f t="shared" ca="1" si="6"/>
        <v>0</v>
      </c>
      <c r="V12" s="91"/>
      <c r="W12" s="23">
        <v>0</v>
      </c>
      <c r="X12" s="23">
        <v>0</v>
      </c>
      <c r="Y12" s="100">
        <f t="shared" si="7"/>
        <v>0</v>
      </c>
      <c r="Z12" s="100" t="e">
        <f t="shared" si="27"/>
        <v>#DIV/0!</v>
      </c>
      <c r="AA12" s="24"/>
      <c r="AB12" s="23"/>
      <c r="AC12" s="23"/>
      <c r="AD12" s="25">
        <v>0</v>
      </c>
      <c r="AE12" s="25">
        <f t="shared" si="31"/>
        <v>0</v>
      </c>
      <c r="AF12" s="25">
        <v>0</v>
      </c>
      <c r="AG12" s="23"/>
      <c r="AH12" s="23"/>
      <c r="AI12" s="25">
        <f t="shared" si="8"/>
        <v>0</v>
      </c>
      <c r="AJ12" s="100">
        <v>0</v>
      </c>
      <c r="AK12" s="82" t="e">
        <f t="shared" si="28"/>
        <v>#DIV/0!</v>
      </c>
      <c r="AL12" s="82" t="e">
        <f t="shared" si="29"/>
        <v>#DIV/0!</v>
      </c>
      <c r="AM12" s="82" t="e">
        <f t="shared" si="30"/>
        <v>#DIV/0!</v>
      </c>
      <c r="AO12" s="130" t="e">
        <f t="shared" si="9"/>
        <v>#DIV/0!</v>
      </c>
      <c r="AP12" s="130" t="e">
        <f t="shared" si="10"/>
        <v>#DIV/0!</v>
      </c>
      <c r="AT12" s="130">
        <f t="shared" si="11"/>
        <v>0</v>
      </c>
      <c r="AU12" s="130">
        <f t="shared" si="12"/>
        <v>0</v>
      </c>
      <c r="BD12" s="136">
        <v>1</v>
      </c>
      <c r="BE12">
        <f t="shared" si="13"/>
        <v>0</v>
      </c>
      <c r="BF12" s="137">
        <v>2</v>
      </c>
      <c r="BG12">
        <f t="shared" si="14"/>
        <v>0</v>
      </c>
      <c r="BH12" s="130">
        <f t="shared" si="15"/>
        <v>0</v>
      </c>
      <c r="BJ12" s="137">
        <v>1</v>
      </c>
      <c r="BK12">
        <f t="shared" si="16"/>
        <v>0</v>
      </c>
      <c r="BL12" s="137">
        <v>2</v>
      </c>
      <c r="BM12">
        <f t="shared" si="17"/>
        <v>0</v>
      </c>
      <c r="BN12" s="130">
        <f t="shared" si="18"/>
        <v>0</v>
      </c>
      <c r="BP12" s="137">
        <v>1</v>
      </c>
      <c r="BQ12">
        <f t="shared" si="19"/>
        <v>0</v>
      </c>
      <c r="BR12" s="137">
        <v>2</v>
      </c>
      <c r="BS12">
        <f t="shared" si="20"/>
        <v>0</v>
      </c>
      <c r="BT12" s="130">
        <f t="shared" si="21"/>
        <v>0</v>
      </c>
      <c r="BV12" s="137">
        <v>1</v>
      </c>
      <c r="BW12">
        <f t="shared" si="22"/>
        <v>0</v>
      </c>
      <c r="BX12" s="137">
        <v>2</v>
      </c>
      <c r="BY12">
        <f t="shared" si="25"/>
        <v>0</v>
      </c>
      <c r="BZ12" s="130">
        <f t="shared" si="23"/>
        <v>0</v>
      </c>
      <c r="CB12" s="130">
        <f t="shared" si="24"/>
        <v>0</v>
      </c>
    </row>
    <row r="13" spans="1:80" x14ac:dyDescent="0.3">
      <c r="A13" s="99">
        <v>44479</v>
      </c>
      <c r="B13" s="23">
        <v>0</v>
      </c>
      <c r="C13" s="23">
        <v>0</v>
      </c>
      <c r="D13" s="86">
        <v>0</v>
      </c>
      <c r="E13" s="86">
        <v>0</v>
      </c>
      <c r="F13" s="23">
        <v>0</v>
      </c>
      <c r="G13" s="23">
        <v>0</v>
      </c>
      <c r="H13" s="22">
        <f t="shared" si="0"/>
        <v>0</v>
      </c>
      <c r="I13" s="23">
        <v>0</v>
      </c>
      <c r="J13" s="23">
        <v>0</v>
      </c>
      <c r="K13" s="89">
        <f t="shared" si="1"/>
        <v>0</v>
      </c>
      <c r="L13" s="87">
        <f t="shared" ca="1" si="2"/>
        <v>0</v>
      </c>
      <c r="M13" s="23"/>
      <c r="N13" s="23"/>
      <c r="O13" s="22">
        <f t="shared" si="3"/>
        <v>0</v>
      </c>
      <c r="P13" s="23"/>
      <c r="Q13" s="23"/>
      <c r="R13" s="22">
        <f t="shared" si="4"/>
        <v>0</v>
      </c>
      <c r="S13" s="21">
        <v>0</v>
      </c>
      <c r="T13" s="22">
        <f t="shared" ca="1" si="5"/>
        <v>0</v>
      </c>
      <c r="U13" s="157">
        <f t="shared" ca="1" si="6"/>
        <v>0</v>
      </c>
      <c r="V13" s="91"/>
      <c r="W13" s="23">
        <v>0</v>
      </c>
      <c r="X13" s="23">
        <v>0</v>
      </c>
      <c r="Y13" s="100">
        <f t="shared" si="7"/>
        <v>0</v>
      </c>
      <c r="Z13" s="100">
        <v>0</v>
      </c>
      <c r="AA13" s="24"/>
      <c r="AB13" s="23"/>
      <c r="AC13" s="23"/>
      <c r="AD13" s="25">
        <v>0</v>
      </c>
      <c r="AE13" s="25">
        <f t="shared" si="31"/>
        <v>0</v>
      </c>
      <c r="AF13" s="25">
        <v>0</v>
      </c>
      <c r="AG13" s="23"/>
      <c r="AH13" s="23"/>
      <c r="AI13" s="25">
        <f t="shared" si="8"/>
        <v>0</v>
      </c>
      <c r="AJ13" s="100">
        <v>0</v>
      </c>
      <c r="AK13" s="82">
        <v>0</v>
      </c>
      <c r="AL13" s="82">
        <v>0</v>
      </c>
      <c r="AM13" s="82">
        <v>0</v>
      </c>
      <c r="AO13" s="130">
        <f t="shared" si="9"/>
        <v>0</v>
      </c>
      <c r="AP13" s="130">
        <f t="shared" si="10"/>
        <v>0</v>
      </c>
      <c r="AT13" s="130">
        <f t="shared" si="11"/>
        <v>0</v>
      </c>
      <c r="AU13" s="130">
        <f t="shared" si="12"/>
        <v>0</v>
      </c>
      <c r="BD13" s="136">
        <v>1</v>
      </c>
      <c r="BE13">
        <f t="shared" si="13"/>
        <v>0</v>
      </c>
      <c r="BF13" s="137">
        <v>2</v>
      </c>
      <c r="BG13">
        <f t="shared" si="14"/>
        <v>0</v>
      </c>
      <c r="BH13" s="130">
        <f t="shared" si="15"/>
        <v>0</v>
      </c>
      <c r="BJ13" s="137">
        <v>1</v>
      </c>
      <c r="BK13">
        <f t="shared" si="16"/>
        <v>0</v>
      </c>
      <c r="BL13" s="137">
        <v>2</v>
      </c>
      <c r="BM13">
        <f t="shared" si="17"/>
        <v>0</v>
      </c>
      <c r="BN13" s="130">
        <f t="shared" si="18"/>
        <v>0</v>
      </c>
      <c r="BP13" s="137">
        <v>1</v>
      </c>
      <c r="BQ13">
        <f t="shared" si="19"/>
        <v>0</v>
      </c>
      <c r="BR13" s="137">
        <v>2</v>
      </c>
      <c r="BS13">
        <f t="shared" si="20"/>
        <v>0</v>
      </c>
      <c r="BT13" s="130">
        <f t="shared" si="21"/>
        <v>0</v>
      </c>
      <c r="BV13" s="137">
        <v>1</v>
      </c>
      <c r="BW13">
        <f t="shared" si="22"/>
        <v>0</v>
      </c>
      <c r="BX13" s="137">
        <v>2</v>
      </c>
      <c r="BY13">
        <f t="shared" si="25"/>
        <v>0</v>
      </c>
      <c r="BZ13" s="130">
        <f t="shared" si="23"/>
        <v>0</v>
      </c>
      <c r="CB13" s="130">
        <f t="shared" si="24"/>
        <v>0</v>
      </c>
    </row>
    <row r="14" spans="1:80" x14ac:dyDescent="0.3">
      <c r="A14" s="99">
        <v>44480</v>
      </c>
      <c r="B14" s="23">
        <v>0</v>
      </c>
      <c r="C14" s="23">
        <v>0</v>
      </c>
      <c r="D14" s="86">
        <v>0</v>
      </c>
      <c r="E14" s="86">
        <v>0</v>
      </c>
      <c r="F14" s="23">
        <v>0</v>
      </c>
      <c r="G14" s="23">
        <v>0</v>
      </c>
      <c r="H14" s="22">
        <f t="shared" si="0"/>
        <v>0</v>
      </c>
      <c r="I14" s="23">
        <v>0</v>
      </c>
      <c r="J14" s="23">
        <v>0</v>
      </c>
      <c r="K14" s="89">
        <f t="shared" si="1"/>
        <v>0</v>
      </c>
      <c r="L14" s="87">
        <f t="shared" ca="1" si="2"/>
        <v>0</v>
      </c>
      <c r="M14" s="23"/>
      <c r="N14" s="23"/>
      <c r="O14" s="22">
        <f t="shared" si="3"/>
        <v>0</v>
      </c>
      <c r="P14" s="23"/>
      <c r="Q14" s="23"/>
      <c r="R14" s="22">
        <f t="shared" si="4"/>
        <v>0</v>
      </c>
      <c r="S14" s="21" t="e">
        <f t="shared" si="26"/>
        <v>#DIV/0!</v>
      </c>
      <c r="T14" s="22">
        <f t="shared" ca="1" si="5"/>
        <v>0</v>
      </c>
      <c r="U14" s="157">
        <f t="shared" ca="1" si="6"/>
        <v>0</v>
      </c>
      <c r="V14" s="91"/>
      <c r="W14" s="23">
        <v>0</v>
      </c>
      <c r="X14" s="23">
        <v>0</v>
      </c>
      <c r="Y14" s="100">
        <f t="shared" si="7"/>
        <v>0</v>
      </c>
      <c r="Z14" s="100" t="e">
        <f t="shared" si="27"/>
        <v>#DIV/0!</v>
      </c>
      <c r="AA14" s="24"/>
      <c r="AB14" s="23"/>
      <c r="AC14" s="23"/>
      <c r="AD14" s="25">
        <f>AB13-AB14+AC14</f>
        <v>0</v>
      </c>
      <c r="AE14" s="25">
        <f t="shared" si="31"/>
        <v>0</v>
      </c>
      <c r="AF14" s="25">
        <v>0</v>
      </c>
      <c r="AG14" s="23"/>
      <c r="AH14" s="23"/>
      <c r="AI14" s="25">
        <f t="shared" si="8"/>
        <v>0</v>
      </c>
      <c r="AJ14" s="100">
        <v>0</v>
      </c>
      <c r="AK14" s="82" t="e">
        <f t="shared" si="28"/>
        <v>#DIV/0!</v>
      </c>
      <c r="AL14" s="82" t="e">
        <f t="shared" si="29"/>
        <v>#DIV/0!</v>
      </c>
      <c r="AM14" s="82" t="e">
        <f t="shared" si="30"/>
        <v>#DIV/0!</v>
      </c>
      <c r="AO14" s="130" t="e">
        <f t="shared" si="9"/>
        <v>#DIV/0!</v>
      </c>
      <c r="AP14" s="130" t="e">
        <f t="shared" si="10"/>
        <v>#DIV/0!</v>
      </c>
      <c r="AT14" s="130">
        <f t="shared" si="11"/>
        <v>0</v>
      </c>
      <c r="AU14" s="130">
        <f t="shared" si="12"/>
        <v>0</v>
      </c>
      <c r="BD14" s="136">
        <v>1</v>
      </c>
      <c r="BE14">
        <f t="shared" si="13"/>
        <v>0</v>
      </c>
      <c r="BF14" s="137">
        <v>2</v>
      </c>
      <c r="BG14">
        <f t="shared" si="14"/>
        <v>0</v>
      </c>
      <c r="BH14" s="130">
        <f t="shared" si="15"/>
        <v>0</v>
      </c>
      <c r="BJ14" s="137">
        <v>1</v>
      </c>
      <c r="BK14">
        <f t="shared" si="16"/>
        <v>0</v>
      </c>
      <c r="BL14" s="137">
        <v>2</v>
      </c>
      <c r="BM14">
        <f t="shared" si="17"/>
        <v>0</v>
      </c>
      <c r="BN14" s="130">
        <f t="shared" si="18"/>
        <v>0</v>
      </c>
      <c r="BP14" s="137">
        <v>1</v>
      </c>
      <c r="BQ14">
        <f t="shared" si="19"/>
        <v>0</v>
      </c>
      <c r="BR14" s="137">
        <v>2</v>
      </c>
      <c r="BS14">
        <f t="shared" si="20"/>
        <v>0</v>
      </c>
      <c r="BT14" s="130">
        <f t="shared" si="21"/>
        <v>0</v>
      </c>
      <c r="BV14" s="137">
        <v>1</v>
      </c>
      <c r="BW14">
        <f t="shared" si="22"/>
        <v>0</v>
      </c>
      <c r="BX14" s="137">
        <v>2</v>
      </c>
      <c r="BY14">
        <f t="shared" si="25"/>
        <v>0</v>
      </c>
      <c r="BZ14" s="130">
        <f t="shared" si="23"/>
        <v>0</v>
      </c>
      <c r="CB14" s="130">
        <f t="shared" si="24"/>
        <v>0</v>
      </c>
    </row>
    <row r="15" spans="1:80" x14ac:dyDescent="0.3">
      <c r="A15" s="99">
        <v>44481</v>
      </c>
      <c r="B15" s="23">
        <v>0</v>
      </c>
      <c r="C15" s="23">
        <v>0</v>
      </c>
      <c r="D15" s="86">
        <v>0</v>
      </c>
      <c r="E15" s="86">
        <v>0</v>
      </c>
      <c r="F15" s="23">
        <v>0</v>
      </c>
      <c r="G15" s="23">
        <v>0</v>
      </c>
      <c r="H15" s="22">
        <f t="shared" si="0"/>
        <v>0</v>
      </c>
      <c r="I15" s="23">
        <v>0</v>
      </c>
      <c r="J15" s="23">
        <v>0</v>
      </c>
      <c r="K15" s="89">
        <f t="shared" si="1"/>
        <v>0</v>
      </c>
      <c r="L15" s="87">
        <f t="shared" ca="1" si="2"/>
        <v>0</v>
      </c>
      <c r="M15" s="23"/>
      <c r="N15" s="23"/>
      <c r="O15" s="22">
        <f t="shared" si="3"/>
        <v>0</v>
      </c>
      <c r="P15" s="23"/>
      <c r="Q15" s="23"/>
      <c r="R15" s="22">
        <f t="shared" si="4"/>
        <v>0</v>
      </c>
      <c r="S15" s="21" t="e">
        <f t="shared" si="26"/>
        <v>#DIV/0!</v>
      </c>
      <c r="T15" s="22">
        <f t="shared" ca="1" si="5"/>
        <v>0</v>
      </c>
      <c r="U15" s="157">
        <f t="shared" ca="1" si="6"/>
        <v>0</v>
      </c>
      <c r="V15" s="91"/>
      <c r="W15" s="23">
        <v>0</v>
      </c>
      <c r="X15" s="23">
        <v>0</v>
      </c>
      <c r="Y15" s="100">
        <f t="shared" si="7"/>
        <v>0</v>
      </c>
      <c r="Z15" s="100" t="e">
        <f t="shared" si="27"/>
        <v>#DIV/0!</v>
      </c>
      <c r="AA15" s="24"/>
      <c r="AB15" s="23"/>
      <c r="AC15" s="23"/>
      <c r="AD15" s="25">
        <f>AB14-AB15+AC15</f>
        <v>0</v>
      </c>
      <c r="AE15" s="25">
        <f t="shared" si="31"/>
        <v>0</v>
      </c>
      <c r="AF15" s="25">
        <v>0</v>
      </c>
      <c r="AG15" s="23"/>
      <c r="AH15" s="23"/>
      <c r="AI15" s="25">
        <f t="shared" si="8"/>
        <v>0</v>
      </c>
      <c r="AJ15" s="100">
        <v>0</v>
      </c>
      <c r="AK15" s="82" t="e">
        <f t="shared" si="28"/>
        <v>#DIV/0!</v>
      </c>
      <c r="AL15" s="82" t="e">
        <f t="shared" si="29"/>
        <v>#DIV/0!</v>
      </c>
      <c r="AM15" s="82" t="e">
        <f t="shared" si="30"/>
        <v>#DIV/0!</v>
      </c>
      <c r="AO15" s="130" t="e">
        <f t="shared" si="9"/>
        <v>#DIV/0!</v>
      </c>
      <c r="AP15" s="130" t="e">
        <f t="shared" si="10"/>
        <v>#DIV/0!</v>
      </c>
      <c r="AT15" s="130">
        <f t="shared" si="11"/>
        <v>0</v>
      </c>
      <c r="AU15" s="130">
        <f t="shared" si="12"/>
        <v>0</v>
      </c>
      <c r="BD15" s="136">
        <v>1</v>
      </c>
      <c r="BE15">
        <f t="shared" si="13"/>
        <v>0</v>
      </c>
      <c r="BF15" s="137">
        <v>2</v>
      </c>
      <c r="BG15">
        <f t="shared" si="14"/>
        <v>0</v>
      </c>
      <c r="BH15" s="130">
        <f t="shared" si="15"/>
        <v>0</v>
      </c>
      <c r="BJ15" s="137">
        <v>1</v>
      </c>
      <c r="BK15">
        <f t="shared" si="16"/>
        <v>0</v>
      </c>
      <c r="BL15" s="137">
        <v>2</v>
      </c>
      <c r="BM15">
        <f t="shared" si="17"/>
        <v>0</v>
      </c>
      <c r="BN15" s="130">
        <f t="shared" si="18"/>
        <v>0</v>
      </c>
      <c r="BP15" s="137">
        <v>1</v>
      </c>
      <c r="BQ15">
        <f t="shared" si="19"/>
        <v>0</v>
      </c>
      <c r="BR15" s="137">
        <v>2</v>
      </c>
      <c r="BS15">
        <f t="shared" si="20"/>
        <v>0</v>
      </c>
      <c r="BT15" s="130">
        <f t="shared" si="21"/>
        <v>0</v>
      </c>
      <c r="BV15" s="137">
        <v>1</v>
      </c>
      <c r="BW15">
        <f t="shared" si="22"/>
        <v>0</v>
      </c>
      <c r="BX15" s="137">
        <v>2</v>
      </c>
      <c r="BY15">
        <f t="shared" si="25"/>
        <v>0</v>
      </c>
      <c r="BZ15" s="130">
        <f t="shared" si="23"/>
        <v>0</v>
      </c>
      <c r="CB15" s="130">
        <f t="shared" si="24"/>
        <v>0</v>
      </c>
    </row>
    <row r="16" spans="1:80" x14ac:dyDescent="0.3">
      <c r="A16" s="99">
        <v>44482</v>
      </c>
      <c r="B16" s="23">
        <v>0</v>
      </c>
      <c r="C16" s="23">
        <v>0</v>
      </c>
      <c r="D16" s="86">
        <v>0</v>
      </c>
      <c r="E16" s="86">
        <v>0</v>
      </c>
      <c r="F16" s="23">
        <v>0</v>
      </c>
      <c r="G16" s="23">
        <v>0</v>
      </c>
      <c r="H16" s="22">
        <f t="shared" si="0"/>
        <v>0</v>
      </c>
      <c r="I16" s="23">
        <v>0</v>
      </c>
      <c r="J16" s="23">
        <v>0</v>
      </c>
      <c r="K16" s="89">
        <f t="shared" si="1"/>
        <v>0</v>
      </c>
      <c r="L16" s="87">
        <f t="shared" ca="1" si="2"/>
        <v>0</v>
      </c>
      <c r="M16" s="23"/>
      <c r="N16" s="23"/>
      <c r="O16" s="22">
        <f t="shared" si="3"/>
        <v>0</v>
      </c>
      <c r="P16" s="23"/>
      <c r="Q16" s="23"/>
      <c r="R16" s="22">
        <f t="shared" si="4"/>
        <v>0</v>
      </c>
      <c r="S16" s="21">
        <v>0</v>
      </c>
      <c r="T16" s="22">
        <f t="shared" ca="1" si="5"/>
        <v>0</v>
      </c>
      <c r="U16" s="157">
        <f t="shared" ca="1" si="6"/>
        <v>0</v>
      </c>
      <c r="V16" s="91"/>
      <c r="W16" s="23">
        <v>0</v>
      </c>
      <c r="X16" s="23">
        <v>0</v>
      </c>
      <c r="Y16" s="100">
        <f t="shared" si="7"/>
        <v>0</v>
      </c>
      <c r="Z16" s="100">
        <v>0</v>
      </c>
      <c r="AA16" s="24"/>
      <c r="AB16" s="23"/>
      <c r="AC16" s="23"/>
      <c r="AD16" s="25">
        <v>0</v>
      </c>
      <c r="AE16" s="25">
        <f t="shared" si="31"/>
        <v>0</v>
      </c>
      <c r="AF16" s="25">
        <v>0</v>
      </c>
      <c r="AG16" s="23"/>
      <c r="AH16" s="23"/>
      <c r="AI16" s="25">
        <f t="shared" si="8"/>
        <v>0</v>
      </c>
      <c r="AJ16" s="100">
        <v>0</v>
      </c>
      <c r="AK16" s="82">
        <v>0</v>
      </c>
      <c r="AL16" s="82">
        <v>0</v>
      </c>
      <c r="AM16" s="82">
        <v>0</v>
      </c>
      <c r="AO16" s="130">
        <f t="shared" si="9"/>
        <v>0</v>
      </c>
      <c r="AP16" s="130">
        <f t="shared" si="10"/>
        <v>0</v>
      </c>
      <c r="AT16" s="130">
        <f t="shared" si="11"/>
        <v>0</v>
      </c>
      <c r="AU16" s="130">
        <f t="shared" si="12"/>
        <v>0</v>
      </c>
      <c r="BD16" s="136">
        <v>1</v>
      </c>
      <c r="BE16">
        <f t="shared" si="13"/>
        <v>0</v>
      </c>
      <c r="BF16" s="137">
        <v>2</v>
      </c>
      <c r="BG16">
        <f t="shared" si="14"/>
        <v>0</v>
      </c>
      <c r="BH16" s="130">
        <f t="shared" si="15"/>
        <v>0</v>
      </c>
      <c r="BJ16" s="137">
        <v>1</v>
      </c>
      <c r="BK16">
        <f t="shared" si="16"/>
        <v>0</v>
      </c>
      <c r="BL16" s="137">
        <v>2</v>
      </c>
      <c r="BM16">
        <f t="shared" si="17"/>
        <v>0</v>
      </c>
      <c r="BN16" s="130">
        <f t="shared" si="18"/>
        <v>0</v>
      </c>
      <c r="BP16" s="137">
        <v>1</v>
      </c>
      <c r="BQ16">
        <f t="shared" si="19"/>
        <v>0</v>
      </c>
      <c r="BR16" s="137">
        <v>2</v>
      </c>
      <c r="BS16">
        <f t="shared" si="20"/>
        <v>0</v>
      </c>
      <c r="BT16" s="130">
        <f t="shared" si="21"/>
        <v>0</v>
      </c>
      <c r="BV16" s="137">
        <v>1</v>
      </c>
      <c r="BW16">
        <f t="shared" si="22"/>
        <v>0</v>
      </c>
      <c r="BX16" s="137">
        <v>2</v>
      </c>
      <c r="BY16">
        <f t="shared" si="25"/>
        <v>0</v>
      </c>
      <c r="BZ16" s="130">
        <f t="shared" si="23"/>
        <v>0</v>
      </c>
      <c r="CB16" s="130">
        <f t="shared" si="24"/>
        <v>0</v>
      </c>
    </row>
    <row r="17" spans="1:82" x14ac:dyDescent="0.3">
      <c r="A17" s="99">
        <v>44483</v>
      </c>
      <c r="B17" s="23">
        <v>0</v>
      </c>
      <c r="C17" s="23">
        <v>0</v>
      </c>
      <c r="D17" s="86">
        <v>0</v>
      </c>
      <c r="E17" s="86">
        <v>0</v>
      </c>
      <c r="F17" s="23">
        <v>0</v>
      </c>
      <c r="G17" s="23">
        <v>0</v>
      </c>
      <c r="H17" s="22">
        <f t="shared" si="0"/>
        <v>0</v>
      </c>
      <c r="I17" s="23">
        <v>0</v>
      </c>
      <c r="J17" s="23">
        <v>0</v>
      </c>
      <c r="K17" s="89">
        <f t="shared" si="1"/>
        <v>0</v>
      </c>
      <c r="L17" s="87">
        <f t="shared" ca="1" si="2"/>
        <v>0</v>
      </c>
      <c r="M17" s="23"/>
      <c r="N17" s="23"/>
      <c r="O17" s="22">
        <f t="shared" si="3"/>
        <v>0</v>
      </c>
      <c r="P17" s="23"/>
      <c r="Q17" s="23"/>
      <c r="R17" s="22">
        <f t="shared" si="4"/>
        <v>0</v>
      </c>
      <c r="S17" s="21">
        <v>0</v>
      </c>
      <c r="T17" s="22">
        <f t="shared" ca="1" si="5"/>
        <v>0</v>
      </c>
      <c r="U17" s="157">
        <f t="shared" ca="1" si="6"/>
        <v>0</v>
      </c>
      <c r="V17" s="91"/>
      <c r="W17" s="23">
        <v>0</v>
      </c>
      <c r="X17" s="23">
        <v>0</v>
      </c>
      <c r="Y17" s="100">
        <f t="shared" si="7"/>
        <v>0</v>
      </c>
      <c r="Z17" s="100">
        <v>0</v>
      </c>
      <c r="AA17" s="24"/>
      <c r="AB17" s="23"/>
      <c r="AC17" s="23"/>
      <c r="AD17" s="25">
        <f>AB16-AB17+AC17</f>
        <v>0</v>
      </c>
      <c r="AE17" s="25">
        <f t="shared" si="31"/>
        <v>0</v>
      </c>
      <c r="AF17" s="25">
        <v>0</v>
      </c>
      <c r="AG17" s="23"/>
      <c r="AH17" s="23"/>
      <c r="AI17" s="25">
        <f t="shared" si="8"/>
        <v>0</v>
      </c>
      <c r="AJ17" s="100">
        <v>0</v>
      </c>
      <c r="AK17" s="82">
        <v>0</v>
      </c>
      <c r="AL17" s="82">
        <v>0</v>
      </c>
      <c r="AM17" s="82">
        <v>0</v>
      </c>
      <c r="AO17" s="130">
        <f t="shared" si="9"/>
        <v>0</v>
      </c>
      <c r="AP17" s="130">
        <f t="shared" si="10"/>
        <v>0</v>
      </c>
      <c r="AT17" s="130">
        <f t="shared" si="11"/>
        <v>0</v>
      </c>
      <c r="AU17" s="130">
        <f t="shared" si="12"/>
        <v>0</v>
      </c>
      <c r="BD17" s="136">
        <v>1</v>
      </c>
      <c r="BE17">
        <f t="shared" si="13"/>
        <v>0</v>
      </c>
      <c r="BF17" s="137">
        <v>2</v>
      </c>
      <c r="BG17">
        <f t="shared" si="14"/>
        <v>0</v>
      </c>
      <c r="BH17" s="130">
        <f t="shared" si="15"/>
        <v>0</v>
      </c>
      <c r="BJ17" s="137">
        <v>1</v>
      </c>
      <c r="BK17">
        <f t="shared" si="16"/>
        <v>0</v>
      </c>
      <c r="BL17" s="137">
        <v>2</v>
      </c>
      <c r="BM17">
        <f t="shared" si="17"/>
        <v>0</v>
      </c>
      <c r="BN17" s="130">
        <f t="shared" si="18"/>
        <v>0</v>
      </c>
      <c r="BP17" s="137">
        <v>1</v>
      </c>
      <c r="BQ17">
        <f t="shared" si="19"/>
        <v>0</v>
      </c>
      <c r="BR17" s="137">
        <v>2</v>
      </c>
      <c r="BS17">
        <f t="shared" si="20"/>
        <v>0</v>
      </c>
      <c r="BT17" s="130">
        <f t="shared" si="21"/>
        <v>0</v>
      </c>
      <c r="BV17" s="137">
        <v>1</v>
      </c>
      <c r="BW17">
        <f t="shared" si="22"/>
        <v>0</v>
      </c>
      <c r="BX17" s="137">
        <v>2</v>
      </c>
      <c r="BY17">
        <f t="shared" si="25"/>
        <v>0</v>
      </c>
      <c r="BZ17" s="130">
        <f t="shared" si="23"/>
        <v>0</v>
      </c>
      <c r="CB17" s="130">
        <f t="shared" si="24"/>
        <v>0</v>
      </c>
    </row>
    <row r="18" spans="1:82" x14ac:dyDescent="0.3">
      <c r="A18" s="99">
        <v>44484</v>
      </c>
      <c r="B18" s="23">
        <v>0</v>
      </c>
      <c r="C18" s="23">
        <v>0</v>
      </c>
      <c r="D18" s="86">
        <v>0</v>
      </c>
      <c r="E18" s="86">
        <v>0</v>
      </c>
      <c r="F18" s="23">
        <v>0</v>
      </c>
      <c r="G18" s="23">
        <v>0</v>
      </c>
      <c r="H18" s="22">
        <f t="shared" si="0"/>
        <v>0</v>
      </c>
      <c r="I18" s="23">
        <v>0</v>
      </c>
      <c r="J18" s="23">
        <v>0</v>
      </c>
      <c r="K18" s="89">
        <f t="shared" si="1"/>
        <v>0</v>
      </c>
      <c r="L18" s="87">
        <f t="shared" ca="1" si="2"/>
        <v>0</v>
      </c>
      <c r="M18" s="23"/>
      <c r="N18" s="23"/>
      <c r="O18" s="22">
        <f t="shared" si="3"/>
        <v>0</v>
      </c>
      <c r="P18" s="23"/>
      <c r="Q18" s="23"/>
      <c r="R18" s="22">
        <f t="shared" si="4"/>
        <v>0</v>
      </c>
      <c r="S18" s="21" t="e">
        <f t="shared" si="26"/>
        <v>#DIV/0!</v>
      </c>
      <c r="T18" s="22">
        <f t="shared" ca="1" si="5"/>
        <v>0</v>
      </c>
      <c r="U18" s="157">
        <f t="shared" ca="1" si="6"/>
        <v>0</v>
      </c>
      <c r="V18" s="91"/>
      <c r="W18" s="23">
        <v>0</v>
      </c>
      <c r="X18" s="23">
        <v>0</v>
      </c>
      <c r="Y18" s="100">
        <f t="shared" si="7"/>
        <v>0</v>
      </c>
      <c r="Z18" s="100" t="e">
        <f t="shared" si="27"/>
        <v>#DIV/0!</v>
      </c>
      <c r="AA18" s="24"/>
      <c r="AB18" s="23"/>
      <c r="AC18" s="23"/>
      <c r="AD18" s="25">
        <f>AB17-AB18+AC18</f>
        <v>0</v>
      </c>
      <c r="AE18" s="25">
        <f t="shared" si="31"/>
        <v>0</v>
      </c>
      <c r="AF18" s="25">
        <v>0</v>
      </c>
      <c r="AG18" s="23"/>
      <c r="AH18" s="23"/>
      <c r="AI18" s="25">
        <f t="shared" si="8"/>
        <v>0</v>
      </c>
      <c r="AJ18" s="100">
        <v>0</v>
      </c>
      <c r="AK18" s="82" t="e">
        <f t="shared" si="28"/>
        <v>#DIV/0!</v>
      </c>
      <c r="AL18" s="82" t="e">
        <f t="shared" si="29"/>
        <v>#DIV/0!</v>
      </c>
      <c r="AM18" s="82" t="e">
        <f t="shared" si="30"/>
        <v>#DIV/0!</v>
      </c>
      <c r="AO18" s="130" t="e">
        <f t="shared" si="9"/>
        <v>#DIV/0!</v>
      </c>
      <c r="AP18" s="130" t="e">
        <f t="shared" si="10"/>
        <v>#DIV/0!</v>
      </c>
      <c r="AT18" s="130">
        <f t="shared" si="11"/>
        <v>0</v>
      </c>
      <c r="AU18" s="130">
        <f t="shared" si="12"/>
        <v>0</v>
      </c>
      <c r="BD18" s="136">
        <v>1</v>
      </c>
      <c r="BE18">
        <f t="shared" si="13"/>
        <v>0</v>
      </c>
      <c r="BF18" s="137">
        <v>2</v>
      </c>
      <c r="BG18">
        <f t="shared" si="14"/>
        <v>0</v>
      </c>
      <c r="BH18" s="130">
        <f t="shared" si="15"/>
        <v>0</v>
      </c>
      <c r="BJ18" s="137">
        <v>1</v>
      </c>
      <c r="BK18">
        <f t="shared" si="16"/>
        <v>0</v>
      </c>
      <c r="BL18" s="137">
        <v>2</v>
      </c>
      <c r="BM18">
        <f t="shared" si="17"/>
        <v>0</v>
      </c>
      <c r="BN18" s="130">
        <f t="shared" si="18"/>
        <v>0</v>
      </c>
      <c r="BP18" s="137">
        <v>1</v>
      </c>
      <c r="BQ18">
        <f t="shared" si="19"/>
        <v>0</v>
      </c>
      <c r="BR18" s="137">
        <v>2</v>
      </c>
      <c r="BS18">
        <f t="shared" si="20"/>
        <v>0</v>
      </c>
      <c r="BT18" s="130">
        <f t="shared" si="21"/>
        <v>0</v>
      </c>
      <c r="BV18" s="137">
        <v>1</v>
      </c>
      <c r="BW18">
        <f t="shared" si="22"/>
        <v>0</v>
      </c>
      <c r="BX18" s="137">
        <v>2</v>
      </c>
      <c r="BY18">
        <f t="shared" si="25"/>
        <v>0</v>
      </c>
      <c r="BZ18" s="130">
        <f t="shared" si="23"/>
        <v>0</v>
      </c>
      <c r="CB18" s="130">
        <f t="shared" si="24"/>
        <v>0</v>
      </c>
    </row>
    <row r="19" spans="1:82" ht="15" customHeight="1" x14ac:dyDescent="0.3">
      <c r="A19" s="99">
        <v>44485</v>
      </c>
      <c r="B19" s="23">
        <v>0</v>
      </c>
      <c r="C19" s="23">
        <v>0</v>
      </c>
      <c r="D19" s="86">
        <v>0</v>
      </c>
      <c r="E19" s="86">
        <v>0</v>
      </c>
      <c r="F19" s="23">
        <v>0</v>
      </c>
      <c r="G19" s="23">
        <v>0</v>
      </c>
      <c r="H19" s="22">
        <f t="shared" si="0"/>
        <v>0</v>
      </c>
      <c r="I19" s="23">
        <v>0</v>
      </c>
      <c r="J19" s="23">
        <v>0</v>
      </c>
      <c r="K19" s="89">
        <f t="shared" si="1"/>
        <v>0</v>
      </c>
      <c r="L19" s="87">
        <f t="shared" ca="1" si="2"/>
        <v>0</v>
      </c>
      <c r="M19" s="23"/>
      <c r="N19" s="23"/>
      <c r="O19" s="22">
        <f t="shared" si="3"/>
        <v>0</v>
      </c>
      <c r="P19" s="23"/>
      <c r="Q19" s="23"/>
      <c r="R19" s="22">
        <f t="shared" si="4"/>
        <v>0</v>
      </c>
      <c r="S19" s="21" t="e">
        <f t="shared" si="26"/>
        <v>#DIV/0!</v>
      </c>
      <c r="T19" s="22">
        <f t="shared" ca="1" si="5"/>
        <v>0</v>
      </c>
      <c r="U19" s="157">
        <f t="shared" ca="1" si="6"/>
        <v>0</v>
      </c>
      <c r="V19" s="92"/>
      <c r="W19" s="23">
        <v>0</v>
      </c>
      <c r="X19" s="23">
        <v>0</v>
      </c>
      <c r="Y19" s="100">
        <f t="shared" si="7"/>
        <v>0</v>
      </c>
      <c r="Z19" s="100" t="e">
        <f t="shared" si="27"/>
        <v>#DIV/0!</v>
      </c>
      <c r="AA19" s="24"/>
      <c r="AB19" s="23"/>
      <c r="AC19" s="23"/>
      <c r="AD19" s="25">
        <v>0</v>
      </c>
      <c r="AE19" s="25">
        <f t="shared" si="31"/>
        <v>0</v>
      </c>
      <c r="AF19" s="25">
        <v>0</v>
      </c>
      <c r="AG19" s="23"/>
      <c r="AH19" s="23"/>
      <c r="AI19" s="25">
        <f t="shared" si="8"/>
        <v>0</v>
      </c>
      <c r="AJ19" s="100">
        <v>0</v>
      </c>
      <c r="AK19" s="82" t="e">
        <f t="shared" si="28"/>
        <v>#DIV/0!</v>
      </c>
      <c r="AL19" s="82" t="e">
        <f t="shared" si="29"/>
        <v>#DIV/0!</v>
      </c>
      <c r="AM19" s="82" t="e">
        <f t="shared" si="30"/>
        <v>#DIV/0!</v>
      </c>
      <c r="AO19" s="130" t="e">
        <f t="shared" si="9"/>
        <v>#DIV/0!</v>
      </c>
      <c r="AP19" s="130" t="e">
        <f t="shared" si="10"/>
        <v>#DIV/0!</v>
      </c>
      <c r="AT19" s="130">
        <f t="shared" si="11"/>
        <v>0</v>
      </c>
      <c r="AU19" s="130">
        <f t="shared" si="12"/>
        <v>0</v>
      </c>
      <c r="BD19" s="136">
        <v>1</v>
      </c>
      <c r="BE19">
        <f t="shared" si="13"/>
        <v>0</v>
      </c>
      <c r="BF19" s="137">
        <v>2</v>
      </c>
      <c r="BG19">
        <f t="shared" si="14"/>
        <v>0</v>
      </c>
      <c r="BH19" s="130">
        <f t="shared" si="15"/>
        <v>0</v>
      </c>
      <c r="BJ19" s="137">
        <v>1</v>
      </c>
      <c r="BK19">
        <f t="shared" si="16"/>
        <v>0</v>
      </c>
      <c r="BL19" s="137">
        <v>2</v>
      </c>
      <c r="BM19">
        <f t="shared" si="17"/>
        <v>0</v>
      </c>
      <c r="BN19" s="130">
        <f t="shared" si="18"/>
        <v>0</v>
      </c>
      <c r="BP19" s="137">
        <v>1</v>
      </c>
      <c r="BQ19">
        <f t="shared" si="19"/>
        <v>0</v>
      </c>
      <c r="BR19" s="137">
        <v>2</v>
      </c>
      <c r="BS19">
        <f t="shared" si="20"/>
        <v>0</v>
      </c>
      <c r="BT19" s="130">
        <f t="shared" si="21"/>
        <v>0</v>
      </c>
      <c r="BV19" s="137">
        <v>1</v>
      </c>
      <c r="BW19">
        <f t="shared" si="22"/>
        <v>0</v>
      </c>
      <c r="BX19" s="137">
        <v>2</v>
      </c>
      <c r="BY19">
        <f t="shared" si="25"/>
        <v>0</v>
      </c>
      <c r="BZ19" s="130">
        <f t="shared" si="23"/>
        <v>0</v>
      </c>
      <c r="CB19" s="130">
        <f t="shared" si="24"/>
        <v>0</v>
      </c>
    </row>
    <row r="20" spans="1:82" x14ac:dyDescent="0.3">
      <c r="A20" s="99">
        <v>44486</v>
      </c>
      <c r="B20" s="23">
        <v>0</v>
      </c>
      <c r="C20" s="23">
        <v>0</v>
      </c>
      <c r="D20" s="86">
        <v>0</v>
      </c>
      <c r="E20" s="86">
        <v>0</v>
      </c>
      <c r="F20" s="23">
        <v>0</v>
      </c>
      <c r="G20" s="23">
        <v>0</v>
      </c>
      <c r="H20" s="22">
        <f t="shared" si="0"/>
        <v>0</v>
      </c>
      <c r="I20" s="23">
        <v>0</v>
      </c>
      <c r="J20" s="23">
        <v>0</v>
      </c>
      <c r="K20" s="89">
        <f t="shared" si="1"/>
        <v>0</v>
      </c>
      <c r="L20" s="87">
        <f t="shared" ca="1" si="2"/>
        <v>0</v>
      </c>
      <c r="M20" s="23"/>
      <c r="N20" s="23"/>
      <c r="O20" s="22">
        <f t="shared" si="3"/>
        <v>0</v>
      </c>
      <c r="P20" s="23"/>
      <c r="Q20" s="23"/>
      <c r="R20" s="22">
        <f t="shared" si="4"/>
        <v>0</v>
      </c>
      <c r="S20" s="21">
        <v>0</v>
      </c>
      <c r="T20" s="22">
        <f t="shared" ca="1" si="5"/>
        <v>0</v>
      </c>
      <c r="U20" s="157">
        <f t="shared" ca="1" si="6"/>
        <v>0</v>
      </c>
      <c r="V20" s="92"/>
      <c r="W20" s="23">
        <v>0</v>
      </c>
      <c r="X20" s="23">
        <v>0</v>
      </c>
      <c r="Y20" s="100">
        <f t="shared" si="7"/>
        <v>0</v>
      </c>
      <c r="Z20" s="100">
        <v>0</v>
      </c>
      <c r="AA20" s="24"/>
      <c r="AB20" s="23"/>
      <c r="AC20" s="23"/>
      <c r="AD20" s="25">
        <v>0</v>
      </c>
      <c r="AE20" s="25">
        <f t="shared" si="31"/>
        <v>0</v>
      </c>
      <c r="AF20" s="25">
        <v>0</v>
      </c>
      <c r="AG20" s="23"/>
      <c r="AH20" s="23"/>
      <c r="AI20" s="25">
        <f t="shared" si="8"/>
        <v>0</v>
      </c>
      <c r="AJ20" s="100">
        <v>0</v>
      </c>
      <c r="AK20" s="82">
        <v>0</v>
      </c>
      <c r="AL20" s="82">
        <v>0</v>
      </c>
      <c r="AM20" s="82">
        <v>0</v>
      </c>
      <c r="AO20" s="130">
        <f t="shared" si="9"/>
        <v>0</v>
      </c>
      <c r="AP20" s="130">
        <f t="shared" si="10"/>
        <v>0</v>
      </c>
      <c r="AT20" s="130">
        <f t="shared" si="11"/>
        <v>0</v>
      </c>
      <c r="AU20" s="130">
        <f t="shared" si="12"/>
        <v>0</v>
      </c>
      <c r="BD20" s="136">
        <v>1</v>
      </c>
      <c r="BE20">
        <f t="shared" si="13"/>
        <v>0</v>
      </c>
      <c r="BF20" s="137">
        <v>2</v>
      </c>
      <c r="BG20">
        <f t="shared" si="14"/>
        <v>0</v>
      </c>
      <c r="BH20" s="130">
        <f t="shared" si="15"/>
        <v>0</v>
      </c>
      <c r="BJ20" s="137">
        <v>1</v>
      </c>
      <c r="BK20">
        <f t="shared" si="16"/>
        <v>0</v>
      </c>
      <c r="BL20" s="137">
        <v>2</v>
      </c>
      <c r="BM20">
        <f t="shared" si="17"/>
        <v>0</v>
      </c>
      <c r="BN20" s="130">
        <f t="shared" si="18"/>
        <v>0</v>
      </c>
      <c r="BP20" s="137">
        <v>1</v>
      </c>
      <c r="BQ20">
        <f t="shared" si="19"/>
        <v>0</v>
      </c>
      <c r="BR20" s="137">
        <v>2</v>
      </c>
      <c r="BS20">
        <f t="shared" si="20"/>
        <v>0</v>
      </c>
      <c r="BT20" s="130">
        <f t="shared" si="21"/>
        <v>0</v>
      </c>
      <c r="BV20" s="137">
        <v>1</v>
      </c>
      <c r="BW20">
        <f t="shared" si="22"/>
        <v>0</v>
      </c>
      <c r="BX20" s="137">
        <v>2</v>
      </c>
      <c r="BY20">
        <f t="shared" si="25"/>
        <v>0</v>
      </c>
      <c r="BZ20" s="130">
        <f t="shared" si="23"/>
        <v>0</v>
      </c>
      <c r="CB20" s="130">
        <f t="shared" si="24"/>
        <v>0</v>
      </c>
    </row>
    <row r="21" spans="1:82" x14ac:dyDescent="0.3">
      <c r="A21" s="99">
        <v>44487</v>
      </c>
      <c r="B21" s="23">
        <v>0</v>
      </c>
      <c r="C21" s="23">
        <v>0</v>
      </c>
      <c r="D21" s="86">
        <v>0</v>
      </c>
      <c r="E21" s="86">
        <v>0</v>
      </c>
      <c r="F21" s="23">
        <v>0</v>
      </c>
      <c r="G21" s="23">
        <v>0</v>
      </c>
      <c r="H21" s="22">
        <f t="shared" si="0"/>
        <v>0</v>
      </c>
      <c r="I21" s="23">
        <v>0</v>
      </c>
      <c r="J21" s="23">
        <v>0</v>
      </c>
      <c r="K21" s="89">
        <f t="shared" si="1"/>
        <v>0</v>
      </c>
      <c r="L21" s="87">
        <f t="shared" ca="1" si="2"/>
        <v>0</v>
      </c>
      <c r="M21" s="23"/>
      <c r="N21" s="23"/>
      <c r="O21" s="22">
        <f t="shared" si="3"/>
        <v>0</v>
      </c>
      <c r="P21" s="23"/>
      <c r="Q21" s="23"/>
      <c r="R21" s="22">
        <f t="shared" si="4"/>
        <v>0</v>
      </c>
      <c r="S21" s="21" t="e">
        <f t="shared" si="26"/>
        <v>#DIV/0!</v>
      </c>
      <c r="T21" s="22">
        <f t="shared" ca="1" si="5"/>
        <v>0</v>
      </c>
      <c r="U21" s="157">
        <f t="shared" ca="1" si="6"/>
        <v>0</v>
      </c>
      <c r="V21" s="91"/>
      <c r="W21" s="23">
        <v>0</v>
      </c>
      <c r="X21" s="23">
        <v>0</v>
      </c>
      <c r="Y21" s="100">
        <f t="shared" si="7"/>
        <v>0</v>
      </c>
      <c r="Z21" s="100" t="e">
        <f t="shared" si="27"/>
        <v>#DIV/0!</v>
      </c>
      <c r="AA21" s="24"/>
      <c r="AB21" s="23"/>
      <c r="AC21" s="23"/>
      <c r="AD21" s="25">
        <f>AB20-AB21+AC21</f>
        <v>0</v>
      </c>
      <c r="AE21" s="25">
        <f t="shared" si="31"/>
        <v>0</v>
      </c>
      <c r="AF21" s="25">
        <v>0</v>
      </c>
      <c r="AG21" s="23"/>
      <c r="AH21" s="23"/>
      <c r="AI21" s="25">
        <f t="shared" si="8"/>
        <v>0</v>
      </c>
      <c r="AJ21" s="100">
        <v>0</v>
      </c>
      <c r="AK21" s="82" t="e">
        <f t="shared" si="28"/>
        <v>#DIV/0!</v>
      </c>
      <c r="AL21" s="82" t="e">
        <f t="shared" si="29"/>
        <v>#DIV/0!</v>
      </c>
      <c r="AM21" s="82" t="e">
        <f t="shared" si="30"/>
        <v>#DIV/0!</v>
      </c>
      <c r="AO21" s="130" t="e">
        <f t="shared" si="9"/>
        <v>#DIV/0!</v>
      </c>
      <c r="AP21" s="130" t="e">
        <f t="shared" si="10"/>
        <v>#DIV/0!</v>
      </c>
      <c r="AT21" s="130">
        <f t="shared" si="11"/>
        <v>0</v>
      </c>
      <c r="AU21" s="130">
        <f t="shared" si="12"/>
        <v>0</v>
      </c>
      <c r="BD21" s="136">
        <v>1</v>
      </c>
      <c r="BE21">
        <f t="shared" si="13"/>
        <v>0</v>
      </c>
      <c r="BF21" s="137">
        <v>2</v>
      </c>
      <c r="BG21">
        <f t="shared" si="14"/>
        <v>0</v>
      </c>
      <c r="BH21" s="130">
        <f t="shared" si="15"/>
        <v>0</v>
      </c>
      <c r="BJ21" s="137">
        <v>1</v>
      </c>
      <c r="BK21">
        <f t="shared" si="16"/>
        <v>0</v>
      </c>
      <c r="BL21" s="137">
        <v>2</v>
      </c>
      <c r="BM21">
        <f t="shared" si="17"/>
        <v>0</v>
      </c>
      <c r="BN21" s="130">
        <f t="shared" si="18"/>
        <v>0</v>
      </c>
      <c r="BP21" s="137">
        <v>1</v>
      </c>
      <c r="BQ21">
        <f t="shared" si="19"/>
        <v>0</v>
      </c>
      <c r="BR21" s="137">
        <v>2</v>
      </c>
      <c r="BS21">
        <f t="shared" si="20"/>
        <v>0</v>
      </c>
      <c r="BT21" s="130">
        <f t="shared" si="21"/>
        <v>0</v>
      </c>
      <c r="BV21" s="137">
        <v>1</v>
      </c>
      <c r="BW21">
        <f t="shared" si="22"/>
        <v>0</v>
      </c>
      <c r="BX21" s="137">
        <v>2</v>
      </c>
      <c r="BY21">
        <f t="shared" si="25"/>
        <v>0</v>
      </c>
      <c r="BZ21" s="130">
        <f t="shared" si="23"/>
        <v>0</v>
      </c>
      <c r="CB21" s="130">
        <f t="shared" si="24"/>
        <v>0</v>
      </c>
    </row>
    <row r="22" spans="1:82" x14ac:dyDescent="0.3">
      <c r="A22" s="99">
        <v>44488</v>
      </c>
      <c r="B22" s="23">
        <v>0</v>
      </c>
      <c r="C22" s="23">
        <v>0</v>
      </c>
      <c r="D22" s="86">
        <v>0</v>
      </c>
      <c r="E22" s="86">
        <v>0</v>
      </c>
      <c r="F22" s="23">
        <v>0</v>
      </c>
      <c r="G22" s="23">
        <v>0</v>
      </c>
      <c r="H22" s="22">
        <f t="shared" si="0"/>
        <v>0</v>
      </c>
      <c r="I22" s="23">
        <v>0</v>
      </c>
      <c r="J22" s="23">
        <v>0</v>
      </c>
      <c r="K22" s="89">
        <f t="shared" si="1"/>
        <v>0</v>
      </c>
      <c r="L22" s="87">
        <f t="shared" ca="1" si="2"/>
        <v>0</v>
      </c>
      <c r="M22" s="23"/>
      <c r="N22" s="23"/>
      <c r="O22" s="22">
        <f t="shared" si="3"/>
        <v>0</v>
      </c>
      <c r="P22" s="23"/>
      <c r="Q22" s="23"/>
      <c r="R22" s="22">
        <f t="shared" si="4"/>
        <v>0</v>
      </c>
      <c r="S22" s="21">
        <v>0</v>
      </c>
      <c r="T22" s="22">
        <f t="shared" ca="1" si="5"/>
        <v>0</v>
      </c>
      <c r="U22" s="157">
        <f t="shared" ca="1" si="6"/>
        <v>0</v>
      </c>
      <c r="V22" s="91"/>
      <c r="W22" s="23">
        <v>0</v>
      </c>
      <c r="X22" s="23">
        <v>0</v>
      </c>
      <c r="Y22" s="100">
        <f t="shared" si="7"/>
        <v>0</v>
      </c>
      <c r="Z22" s="100">
        <v>0</v>
      </c>
      <c r="AA22" s="24"/>
      <c r="AB22" s="23"/>
      <c r="AC22" s="23"/>
      <c r="AD22" s="25">
        <f>AB21-AB22+AC22</f>
        <v>0</v>
      </c>
      <c r="AE22" s="25">
        <f t="shared" si="31"/>
        <v>0</v>
      </c>
      <c r="AF22" s="25">
        <v>0</v>
      </c>
      <c r="AG22" s="23"/>
      <c r="AH22" s="23"/>
      <c r="AI22" s="25">
        <f t="shared" si="8"/>
        <v>0</v>
      </c>
      <c r="AJ22" s="100">
        <v>0</v>
      </c>
      <c r="AK22" s="82">
        <v>0</v>
      </c>
      <c r="AL22" s="82">
        <v>0</v>
      </c>
      <c r="AM22" s="82">
        <v>0</v>
      </c>
      <c r="AO22" s="130">
        <f t="shared" si="9"/>
        <v>0</v>
      </c>
      <c r="AP22" s="130">
        <f t="shared" si="10"/>
        <v>0</v>
      </c>
      <c r="AT22" s="130">
        <f t="shared" si="11"/>
        <v>0</v>
      </c>
      <c r="AU22" s="130">
        <f t="shared" si="12"/>
        <v>0</v>
      </c>
      <c r="BD22" s="136">
        <v>1</v>
      </c>
      <c r="BE22">
        <f t="shared" si="13"/>
        <v>0</v>
      </c>
      <c r="BF22" s="137">
        <v>2</v>
      </c>
      <c r="BG22">
        <f t="shared" si="14"/>
        <v>0</v>
      </c>
      <c r="BH22" s="130">
        <f t="shared" si="15"/>
        <v>0</v>
      </c>
      <c r="BJ22" s="137">
        <v>1</v>
      </c>
      <c r="BK22">
        <f t="shared" si="16"/>
        <v>0</v>
      </c>
      <c r="BL22" s="137">
        <v>2</v>
      </c>
      <c r="BM22">
        <f t="shared" si="17"/>
        <v>0</v>
      </c>
      <c r="BN22" s="130">
        <f t="shared" si="18"/>
        <v>0</v>
      </c>
      <c r="BP22" s="137">
        <v>1</v>
      </c>
      <c r="BQ22">
        <f t="shared" si="19"/>
        <v>0</v>
      </c>
      <c r="BR22" s="137">
        <v>2</v>
      </c>
      <c r="BS22">
        <f t="shared" si="20"/>
        <v>0</v>
      </c>
      <c r="BT22" s="130">
        <f t="shared" si="21"/>
        <v>0</v>
      </c>
      <c r="BV22" s="137">
        <v>1</v>
      </c>
      <c r="BW22">
        <f t="shared" si="22"/>
        <v>0</v>
      </c>
      <c r="BX22" s="137">
        <v>2</v>
      </c>
      <c r="BY22">
        <f t="shared" si="25"/>
        <v>0</v>
      </c>
      <c r="BZ22" s="130">
        <f t="shared" si="23"/>
        <v>0</v>
      </c>
      <c r="CB22" s="130">
        <f t="shared" si="24"/>
        <v>0</v>
      </c>
    </row>
    <row r="23" spans="1:82" x14ac:dyDescent="0.3">
      <c r="A23" s="99">
        <v>44489</v>
      </c>
      <c r="B23" s="23">
        <v>0</v>
      </c>
      <c r="C23" s="23">
        <v>0</v>
      </c>
      <c r="D23" s="86">
        <v>0</v>
      </c>
      <c r="E23" s="86">
        <v>0</v>
      </c>
      <c r="F23" s="23">
        <v>0</v>
      </c>
      <c r="G23" s="23">
        <v>0</v>
      </c>
      <c r="H23" s="22">
        <f t="shared" si="0"/>
        <v>0</v>
      </c>
      <c r="I23" s="23">
        <v>0</v>
      </c>
      <c r="J23" s="23">
        <v>0</v>
      </c>
      <c r="K23" s="89">
        <f t="shared" si="1"/>
        <v>0</v>
      </c>
      <c r="L23" s="87">
        <f t="shared" ca="1" si="2"/>
        <v>0</v>
      </c>
      <c r="M23" s="23"/>
      <c r="N23" s="23"/>
      <c r="O23" s="22">
        <f t="shared" si="3"/>
        <v>0</v>
      </c>
      <c r="P23" s="23"/>
      <c r="Q23" s="23"/>
      <c r="R23" s="22">
        <f t="shared" si="4"/>
        <v>0</v>
      </c>
      <c r="S23" s="21">
        <v>0</v>
      </c>
      <c r="T23" s="22">
        <f t="shared" ca="1" si="5"/>
        <v>0</v>
      </c>
      <c r="U23" s="157">
        <f t="shared" ca="1" si="6"/>
        <v>0</v>
      </c>
      <c r="V23" s="91"/>
      <c r="W23" s="23">
        <v>0</v>
      </c>
      <c r="X23" s="23">
        <v>0</v>
      </c>
      <c r="Y23" s="100">
        <f t="shared" si="7"/>
        <v>0</v>
      </c>
      <c r="Z23" s="100">
        <v>0</v>
      </c>
      <c r="AA23" s="24"/>
      <c r="AB23" s="23"/>
      <c r="AC23" s="23"/>
      <c r="AD23" s="25">
        <f>AB22-AB23+AC23</f>
        <v>0</v>
      </c>
      <c r="AE23" s="25">
        <f t="shared" si="31"/>
        <v>0</v>
      </c>
      <c r="AF23" s="25">
        <v>0</v>
      </c>
      <c r="AG23" s="23"/>
      <c r="AH23" s="23"/>
      <c r="AI23" s="25">
        <f t="shared" si="8"/>
        <v>0</v>
      </c>
      <c r="AJ23" s="100">
        <v>0</v>
      </c>
      <c r="AK23" s="82">
        <v>0</v>
      </c>
      <c r="AL23" s="82">
        <v>0</v>
      </c>
      <c r="AM23" s="82">
        <v>0</v>
      </c>
      <c r="AO23" s="130">
        <f t="shared" si="9"/>
        <v>0</v>
      </c>
      <c r="AP23" s="130">
        <f t="shared" si="10"/>
        <v>0</v>
      </c>
      <c r="AT23" s="130">
        <f t="shared" si="11"/>
        <v>0</v>
      </c>
      <c r="AU23" s="130">
        <f t="shared" si="12"/>
        <v>0</v>
      </c>
      <c r="BD23" s="136">
        <v>1</v>
      </c>
      <c r="BE23">
        <f t="shared" si="13"/>
        <v>0</v>
      </c>
      <c r="BF23" s="137">
        <v>2</v>
      </c>
      <c r="BG23">
        <f t="shared" si="14"/>
        <v>0</v>
      </c>
      <c r="BH23" s="130">
        <f t="shared" si="15"/>
        <v>0</v>
      </c>
      <c r="BJ23" s="137">
        <v>1</v>
      </c>
      <c r="BK23">
        <f t="shared" si="16"/>
        <v>0</v>
      </c>
      <c r="BL23" s="137">
        <v>2</v>
      </c>
      <c r="BM23">
        <f t="shared" si="17"/>
        <v>0</v>
      </c>
      <c r="BN23" s="130">
        <f t="shared" si="18"/>
        <v>0</v>
      </c>
      <c r="BP23" s="137">
        <v>1</v>
      </c>
      <c r="BQ23">
        <f t="shared" si="19"/>
        <v>0</v>
      </c>
      <c r="BR23" s="137">
        <v>2</v>
      </c>
      <c r="BS23">
        <f t="shared" si="20"/>
        <v>0</v>
      </c>
      <c r="BT23" s="130">
        <f t="shared" si="21"/>
        <v>0</v>
      </c>
      <c r="BV23" s="137">
        <v>1</v>
      </c>
      <c r="BW23">
        <f t="shared" si="22"/>
        <v>0</v>
      </c>
      <c r="BX23" s="137">
        <v>2</v>
      </c>
      <c r="BY23">
        <f t="shared" si="25"/>
        <v>0</v>
      </c>
      <c r="BZ23" s="130">
        <f t="shared" si="23"/>
        <v>0</v>
      </c>
      <c r="CB23" s="130">
        <f t="shared" si="24"/>
        <v>0</v>
      </c>
    </row>
    <row r="24" spans="1:82" x14ac:dyDescent="0.3">
      <c r="A24" s="99">
        <v>44490</v>
      </c>
      <c r="B24" s="23">
        <v>0</v>
      </c>
      <c r="C24" s="23">
        <v>0</v>
      </c>
      <c r="D24" s="86">
        <v>0</v>
      </c>
      <c r="E24" s="86">
        <v>0</v>
      </c>
      <c r="F24" s="23">
        <v>0</v>
      </c>
      <c r="G24" s="23">
        <v>0</v>
      </c>
      <c r="H24" s="22">
        <f t="shared" si="0"/>
        <v>0</v>
      </c>
      <c r="I24" s="23">
        <v>0</v>
      </c>
      <c r="J24" s="23">
        <v>0</v>
      </c>
      <c r="K24" s="89">
        <f t="shared" si="1"/>
        <v>0</v>
      </c>
      <c r="L24" s="87">
        <f t="shared" ca="1" si="2"/>
        <v>0</v>
      </c>
      <c r="M24" s="23"/>
      <c r="N24" s="23"/>
      <c r="O24" s="22">
        <f t="shared" si="3"/>
        <v>0</v>
      </c>
      <c r="P24" s="23"/>
      <c r="Q24" s="23"/>
      <c r="R24" s="22">
        <f t="shared" si="4"/>
        <v>0</v>
      </c>
      <c r="S24" s="21">
        <v>0</v>
      </c>
      <c r="T24" s="22">
        <f t="shared" ca="1" si="5"/>
        <v>0</v>
      </c>
      <c r="U24" s="157">
        <f t="shared" ca="1" si="6"/>
        <v>0</v>
      </c>
      <c r="V24" s="91"/>
      <c r="W24" s="23">
        <v>0</v>
      </c>
      <c r="X24" s="23">
        <v>0</v>
      </c>
      <c r="Y24" s="100">
        <f t="shared" si="7"/>
        <v>0</v>
      </c>
      <c r="Z24" s="100">
        <v>0</v>
      </c>
      <c r="AA24" s="24"/>
      <c r="AB24" s="23"/>
      <c r="AC24" s="23"/>
      <c r="AD24" s="25">
        <f>AB23-AB24+AC24</f>
        <v>0</v>
      </c>
      <c r="AE24" s="25">
        <f t="shared" si="31"/>
        <v>0</v>
      </c>
      <c r="AF24" s="25">
        <v>0</v>
      </c>
      <c r="AG24" s="23"/>
      <c r="AH24" s="23"/>
      <c r="AI24" s="25">
        <f t="shared" si="8"/>
        <v>0</v>
      </c>
      <c r="AJ24" s="100">
        <v>0</v>
      </c>
      <c r="AK24" s="82">
        <v>0</v>
      </c>
      <c r="AL24" s="82">
        <v>0</v>
      </c>
      <c r="AM24" s="82">
        <v>0</v>
      </c>
      <c r="AO24" s="130">
        <f t="shared" si="9"/>
        <v>0</v>
      </c>
      <c r="AP24" s="130">
        <f t="shared" si="10"/>
        <v>0</v>
      </c>
      <c r="AT24" s="130">
        <f t="shared" si="11"/>
        <v>0</v>
      </c>
      <c r="AU24" s="130">
        <f t="shared" si="12"/>
        <v>0</v>
      </c>
      <c r="BD24" s="136">
        <v>1</v>
      </c>
      <c r="BE24">
        <f t="shared" si="13"/>
        <v>0</v>
      </c>
      <c r="BF24" s="137">
        <v>2</v>
      </c>
      <c r="BG24">
        <f t="shared" si="14"/>
        <v>0</v>
      </c>
      <c r="BH24" s="130">
        <f t="shared" si="15"/>
        <v>0</v>
      </c>
      <c r="BJ24" s="137">
        <v>1</v>
      </c>
      <c r="BK24">
        <f t="shared" si="16"/>
        <v>0</v>
      </c>
      <c r="BL24" s="137">
        <v>2</v>
      </c>
      <c r="BM24">
        <f t="shared" si="17"/>
        <v>0</v>
      </c>
      <c r="BN24" s="130">
        <f t="shared" si="18"/>
        <v>0</v>
      </c>
      <c r="BP24" s="137">
        <v>1</v>
      </c>
      <c r="BQ24">
        <f t="shared" si="19"/>
        <v>0</v>
      </c>
      <c r="BR24" s="137">
        <v>2</v>
      </c>
      <c r="BS24">
        <f t="shared" si="20"/>
        <v>0</v>
      </c>
      <c r="BT24" s="130">
        <f t="shared" si="21"/>
        <v>0</v>
      </c>
      <c r="BV24" s="137">
        <v>1</v>
      </c>
      <c r="BW24">
        <f t="shared" si="22"/>
        <v>0</v>
      </c>
      <c r="BX24" s="137">
        <v>2</v>
      </c>
      <c r="BY24">
        <f t="shared" si="25"/>
        <v>0</v>
      </c>
      <c r="BZ24" s="130">
        <f t="shared" si="23"/>
        <v>0</v>
      </c>
      <c r="CB24" s="130">
        <f t="shared" si="24"/>
        <v>0</v>
      </c>
    </row>
    <row r="25" spans="1:82" x14ac:dyDescent="0.3">
      <c r="A25" s="99">
        <v>44491</v>
      </c>
      <c r="B25" s="23">
        <v>0</v>
      </c>
      <c r="C25" s="23">
        <v>0</v>
      </c>
      <c r="D25" s="86">
        <v>0</v>
      </c>
      <c r="E25" s="86">
        <v>0</v>
      </c>
      <c r="F25" s="23">
        <v>0</v>
      </c>
      <c r="G25" s="23">
        <v>0</v>
      </c>
      <c r="H25" s="22">
        <f t="shared" si="0"/>
        <v>0</v>
      </c>
      <c r="I25" s="23">
        <v>0</v>
      </c>
      <c r="J25" s="23">
        <v>0</v>
      </c>
      <c r="K25" s="89">
        <f t="shared" si="1"/>
        <v>0</v>
      </c>
      <c r="L25" s="87">
        <f t="shared" ca="1" si="2"/>
        <v>0</v>
      </c>
      <c r="M25" s="23"/>
      <c r="N25" s="23"/>
      <c r="O25" s="22">
        <f t="shared" si="3"/>
        <v>0</v>
      </c>
      <c r="P25" s="23"/>
      <c r="Q25" s="23"/>
      <c r="R25" s="22">
        <f t="shared" si="4"/>
        <v>0</v>
      </c>
      <c r="S25" s="21" t="e">
        <f t="shared" si="26"/>
        <v>#DIV/0!</v>
      </c>
      <c r="T25" s="22">
        <f t="shared" ca="1" si="5"/>
        <v>0</v>
      </c>
      <c r="U25" s="157">
        <f t="shared" ca="1" si="6"/>
        <v>0</v>
      </c>
      <c r="V25" s="91"/>
      <c r="W25" s="23">
        <v>0</v>
      </c>
      <c r="X25" s="23">
        <v>0</v>
      </c>
      <c r="Y25" s="100">
        <f t="shared" si="7"/>
        <v>0</v>
      </c>
      <c r="Z25" s="100" t="e">
        <f t="shared" si="27"/>
        <v>#DIV/0!</v>
      </c>
      <c r="AA25" s="24"/>
      <c r="AB25" s="23"/>
      <c r="AC25" s="23"/>
      <c r="AD25" s="25">
        <f>AB24-AB25+AC25</f>
        <v>0</v>
      </c>
      <c r="AE25" s="25">
        <f t="shared" si="31"/>
        <v>0</v>
      </c>
      <c r="AF25" s="25">
        <v>0</v>
      </c>
      <c r="AG25" s="23"/>
      <c r="AH25" s="23"/>
      <c r="AI25" s="25">
        <f t="shared" si="8"/>
        <v>0</v>
      </c>
      <c r="AJ25" s="100">
        <v>0</v>
      </c>
      <c r="AK25" s="82" t="e">
        <f t="shared" si="28"/>
        <v>#DIV/0!</v>
      </c>
      <c r="AL25" s="82" t="e">
        <f t="shared" si="29"/>
        <v>#DIV/0!</v>
      </c>
      <c r="AM25" s="82" t="e">
        <f t="shared" si="30"/>
        <v>#DIV/0!</v>
      </c>
      <c r="AO25" s="130" t="e">
        <f t="shared" si="9"/>
        <v>#DIV/0!</v>
      </c>
      <c r="AP25" s="130" t="e">
        <f t="shared" si="10"/>
        <v>#DIV/0!</v>
      </c>
      <c r="AT25" s="130">
        <f t="shared" si="11"/>
        <v>0</v>
      </c>
      <c r="AU25" s="130">
        <f t="shared" si="12"/>
        <v>0</v>
      </c>
      <c r="BD25" s="136">
        <v>1</v>
      </c>
      <c r="BE25">
        <f t="shared" si="13"/>
        <v>0</v>
      </c>
      <c r="BF25" s="137">
        <v>2</v>
      </c>
      <c r="BG25">
        <f t="shared" si="14"/>
        <v>0</v>
      </c>
      <c r="BH25" s="130">
        <f t="shared" si="15"/>
        <v>0</v>
      </c>
      <c r="BJ25" s="137">
        <v>1</v>
      </c>
      <c r="BK25">
        <f t="shared" si="16"/>
        <v>0</v>
      </c>
      <c r="BL25" s="137">
        <v>2</v>
      </c>
      <c r="BM25">
        <f t="shared" si="17"/>
        <v>0</v>
      </c>
      <c r="BN25" s="130">
        <f t="shared" si="18"/>
        <v>0</v>
      </c>
      <c r="BP25" s="137">
        <v>1</v>
      </c>
      <c r="BQ25">
        <f t="shared" si="19"/>
        <v>0</v>
      </c>
      <c r="BR25" s="137">
        <v>2</v>
      </c>
      <c r="BS25">
        <f t="shared" si="20"/>
        <v>0</v>
      </c>
      <c r="BT25" s="130">
        <f t="shared" si="21"/>
        <v>0</v>
      </c>
      <c r="BV25" s="137">
        <v>1</v>
      </c>
      <c r="BW25">
        <f t="shared" si="22"/>
        <v>0</v>
      </c>
      <c r="BX25" s="137">
        <v>2</v>
      </c>
      <c r="BY25">
        <f t="shared" si="25"/>
        <v>0</v>
      </c>
      <c r="BZ25" s="130">
        <f t="shared" si="23"/>
        <v>0</v>
      </c>
      <c r="CB25" s="130">
        <f t="shared" si="24"/>
        <v>0</v>
      </c>
    </row>
    <row r="26" spans="1:82" x14ac:dyDescent="0.3">
      <c r="A26" s="99">
        <v>44492</v>
      </c>
      <c r="B26" s="23">
        <v>0</v>
      </c>
      <c r="C26" s="23">
        <v>0</v>
      </c>
      <c r="D26" s="86">
        <v>0</v>
      </c>
      <c r="E26" s="86">
        <v>0</v>
      </c>
      <c r="F26" s="23">
        <v>0</v>
      </c>
      <c r="G26" s="23">
        <v>0</v>
      </c>
      <c r="H26" s="22">
        <f t="shared" si="0"/>
        <v>0</v>
      </c>
      <c r="I26" s="23">
        <v>0</v>
      </c>
      <c r="J26" s="23">
        <v>0</v>
      </c>
      <c r="K26" s="89">
        <f t="shared" si="1"/>
        <v>0</v>
      </c>
      <c r="L26" s="87">
        <f t="shared" ca="1" si="2"/>
        <v>0</v>
      </c>
      <c r="M26" s="23"/>
      <c r="N26" s="23"/>
      <c r="O26" s="22">
        <f t="shared" si="3"/>
        <v>0</v>
      </c>
      <c r="P26" s="23"/>
      <c r="Q26" s="23"/>
      <c r="R26" s="22">
        <f t="shared" si="4"/>
        <v>0</v>
      </c>
      <c r="S26" s="21">
        <v>0</v>
      </c>
      <c r="T26" s="22">
        <f t="shared" ca="1" si="5"/>
        <v>0</v>
      </c>
      <c r="U26" s="157">
        <f t="shared" ca="1" si="6"/>
        <v>0</v>
      </c>
      <c r="V26" s="92"/>
      <c r="W26" s="23">
        <v>0</v>
      </c>
      <c r="X26" s="23">
        <v>0</v>
      </c>
      <c r="Y26" s="100">
        <f t="shared" si="7"/>
        <v>0</v>
      </c>
      <c r="Z26" s="100">
        <v>0</v>
      </c>
      <c r="AA26" s="24"/>
      <c r="AB26" s="23"/>
      <c r="AC26" s="23"/>
      <c r="AD26" s="25">
        <v>0</v>
      </c>
      <c r="AE26" s="25">
        <f t="shared" si="31"/>
        <v>0</v>
      </c>
      <c r="AF26" s="25">
        <v>0</v>
      </c>
      <c r="AG26" s="23"/>
      <c r="AH26" s="23"/>
      <c r="AI26" s="25">
        <f t="shared" si="8"/>
        <v>0</v>
      </c>
      <c r="AJ26" s="100">
        <v>0</v>
      </c>
      <c r="AK26" s="82">
        <v>0</v>
      </c>
      <c r="AL26" s="82">
        <v>0</v>
      </c>
      <c r="AM26" s="82">
        <v>0</v>
      </c>
      <c r="AO26" s="130">
        <f t="shared" si="9"/>
        <v>0</v>
      </c>
      <c r="AP26" s="130">
        <f t="shared" si="10"/>
        <v>0</v>
      </c>
      <c r="AT26" s="130">
        <f t="shared" si="11"/>
        <v>0</v>
      </c>
      <c r="AU26" s="130">
        <f t="shared" si="12"/>
        <v>0</v>
      </c>
      <c r="BD26" s="136">
        <v>1</v>
      </c>
      <c r="BE26">
        <f t="shared" si="13"/>
        <v>0</v>
      </c>
      <c r="BF26" s="137">
        <v>2</v>
      </c>
      <c r="BG26">
        <f t="shared" si="14"/>
        <v>0</v>
      </c>
      <c r="BH26" s="130">
        <f t="shared" si="15"/>
        <v>0</v>
      </c>
      <c r="BJ26" s="137">
        <v>1</v>
      </c>
      <c r="BK26">
        <f t="shared" si="16"/>
        <v>0</v>
      </c>
      <c r="BL26" s="137">
        <v>2</v>
      </c>
      <c r="BM26">
        <f t="shared" si="17"/>
        <v>0</v>
      </c>
      <c r="BN26" s="130">
        <f t="shared" si="18"/>
        <v>0</v>
      </c>
      <c r="BP26" s="137">
        <v>1</v>
      </c>
      <c r="BQ26">
        <f t="shared" si="19"/>
        <v>0</v>
      </c>
      <c r="BR26" s="137">
        <v>2</v>
      </c>
      <c r="BS26">
        <f t="shared" si="20"/>
        <v>0</v>
      </c>
      <c r="BT26" s="130">
        <f t="shared" si="21"/>
        <v>0</v>
      </c>
      <c r="BV26" s="137">
        <v>1</v>
      </c>
      <c r="BW26">
        <f t="shared" si="22"/>
        <v>0</v>
      </c>
      <c r="BX26" s="137">
        <v>2</v>
      </c>
      <c r="BY26">
        <f t="shared" si="25"/>
        <v>0</v>
      </c>
      <c r="BZ26" s="130">
        <f t="shared" si="23"/>
        <v>0</v>
      </c>
      <c r="CB26" s="130">
        <f t="shared" si="24"/>
        <v>0</v>
      </c>
    </row>
    <row r="27" spans="1:82" x14ac:dyDescent="0.3">
      <c r="A27" s="99">
        <v>44493</v>
      </c>
      <c r="B27" s="23">
        <v>0</v>
      </c>
      <c r="C27" s="23">
        <v>0</v>
      </c>
      <c r="D27" s="86">
        <v>0</v>
      </c>
      <c r="E27" s="86">
        <v>0</v>
      </c>
      <c r="F27" s="23">
        <v>0</v>
      </c>
      <c r="G27" s="23">
        <v>0</v>
      </c>
      <c r="H27" s="22">
        <f t="shared" si="0"/>
        <v>0</v>
      </c>
      <c r="I27" s="23">
        <v>0</v>
      </c>
      <c r="J27" s="23">
        <v>0</v>
      </c>
      <c r="K27" s="89">
        <f t="shared" si="1"/>
        <v>0</v>
      </c>
      <c r="L27" s="87">
        <f t="shared" ca="1" si="2"/>
        <v>0</v>
      </c>
      <c r="M27" s="23"/>
      <c r="N27" s="23"/>
      <c r="O27" s="22">
        <f t="shared" si="3"/>
        <v>0</v>
      </c>
      <c r="P27" s="23"/>
      <c r="Q27" s="23"/>
      <c r="R27" s="22">
        <f t="shared" si="4"/>
        <v>0</v>
      </c>
      <c r="S27" s="21">
        <v>0</v>
      </c>
      <c r="T27" s="22">
        <f t="shared" ca="1" si="5"/>
        <v>0</v>
      </c>
      <c r="U27" s="157">
        <f t="shared" ca="1" si="6"/>
        <v>0</v>
      </c>
      <c r="V27" s="91"/>
      <c r="W27" s="23">
        <v>0</v>
      </c>
      <c r="X27" s="23">
        <v>0</v>
      </c>
      <c r="Y27" s="100">
        <f t="shared" si="7"/>
        <v>0</v>
      </c>
      <c r="Z27" s="100">
        <v>0</v>
      </c>
      <c r="AA27" s="24"/>
      <c r="AB27" s="23"/>
      <c r="AC27" s="23"/>
      <c r="AD27" s="25">
        <f>AB26-AB27+AC27</f>
        <v>0</v>
      </c>
      <c r="AE27" s="25">
        <f t="shared" si="31"/>
        <v>0</v>
      </c>
      <c r="AF27" s="25">
        <v>0</v>
      </c>
      <c r="AG27" s="23"/>
      <c r="AH27" s="23"/>
      <c r="AI27" s="25">
        <f t="shared" si="8"/>
        <v>0</v>
      </c>
      <c r="AJ27" s="100">
        <v>0</v>
      </c>
      <c r="AK27" s="82">
        <v>0</v>
      </c>
      <c r="AL27" s="82">
        <v>0</v>
      </c>
      <c r="AM27" s="82">
        <v>0</v>
      </c>
      <c r="AO27" s="130">
        <f t="shared" si="9"/>
        <v>0</v>
      </c>
      <c r="AP27" s="130">
        <f t="shared" si="10"/>
        <v>0</v>
      </c>
      <c r="AT27" s="130">
        <f t="shared" si="11"/>
        <v>0</v>
      </c>
      <c r="AU27" s="130">
        <f t="shared" si="12"/>
        <v>0</v>
      </c>
      <c r="BD27" s="136">
        <v>1</v>
      </c>
      <c r="BE27">
        <f t="shared" si="13"/>
        <v>0</v>
      </c>
      <c r="BF27" s="137">
        <v>2</v>
      </c>
      <c r="BG27">
        <f t="shared" si="14"/>
        <v>0</v>
      </c>
      <c r="BH27" s="130">
        <f t="shared" si="15"/>
        <v>0</v>
      </c>
      <c r="BJ27" s="137">
        <v>1</v>
      </c>
      <c r="BK27">
        <f t="shared" si="16"/>
        <v>0</v>
      </c>
      <c r="BL27" s="137">
        <v>2</v>
      </c>
      <c r="BM27">
        <f t="shared" si="17"/>
        <v>0</v>
      </c>
      <c r="BN27" s="130">
        <f t="shared" si="18"/>
        <v>0</v>
      </c>
      <c r="BP27" s="137">
        <v>1</v>
      </c>
      <c r="BQ27">
        <f t="shared" si="19"/>
        <v>0</v>
      </c>
      <c r="BR27" s="137">
        <v>2</v>
      </c>
      <c r="BS27">
        <f t="shared" si="20"/>
        <v>0</v>
      </c>
      <c r="BT27" s="130">
        <f t="shared" si="21"/>
        <v>0</v>
      </c>
      <c r="BV27" s="137">
        <v>1</v>
      </c>
      <c r="BW27">
        <f t="shared" si="22"/>
        <v>0</v>
      </c>
      <c r="BX27" s="137">
        <v>2</v>
      </c>
      <c r="BY27">
        <f t="shared" si="25"/>
        <v>0</v>
      </c>
      <c r="BZ27" s="130">
        <f t="shared" si="23"/>
        <v>0</v>
      </c>
      <c r="CB27" s="130">
        <f t="shared" si="24"/>
        <v>0</v>
      </c>
    </row>
    <row r="28" spans="1:82" x14ac:dyDescent="0.3">
      <c r="A28" s="99">
        <v>44494</v>
      </c>
      <c r="B28" s="23">
        <v>0</v>
      </c>
      <c r="C28" s="23">
        <v>0</v>
      </c>
      <c r="D28" s="86">
        <v>0</v>
      </c>
      <c r="E28" s="86">
        <v>0</v>
      </c>
      <c r="F28" s="23">
        <v>0</v>
      </c>
      <c r="G28" s="23">
        <v>0</v>
      </c>
      <c r="H28" s="22">
        <f t="shared" si="0"/>
        <v>0</v>
      </c>
      <c r="I28" s="23">
        <v>0</v>
      </c>
      <c r="J28" s="23">
        <v>0</v>
      </c>
      <c r="K28" s="89">
        <f t="shared" si="1"/>
        <v>0</v>
      </c>
      <c r="L28" s="87">
        <f t="shared" ca="1" si="2"/>
        <v>0</v>
      </c>
      <c r="M28" s="23"/>
      <c r="N28" s="23"/>
      <c r="O28" s="22">
        <f t="shared" si="3"/>
        <v>0</v>
      </c>
      <c r="P28" s="23"/>
      <c r="Q28" s="23"/>
      <c r="R28" s="22">
        <f t="shared" si="4"/>
        <v>0</v>
      </c>
      <c r="S28" s="21">
        <v>0</v>
      </c>
      <c r="T28" s="22">
        <f t="shared" ca="1" si="5"/>
        <v>0</v>
      </c>
      <c r="U28" s="157">
        <f t="shared" ca="1" si="6"/>
        <v>0</v>
      </c>
      <c r="V28" s="91"/>
      <c r="W28" s="23">
        <v>0</v>
      </c>
      <c r="X28" s="23">
        <v>0</v>
      </c>
      <c r="Y28" s="100">
        <f t="shared" si="7"/>
        <v>0</v>
      </c>
      <c r="Z28" s="100">
        <v>0</v>
      </c>
      <c r="AA28" s="24"/>
      <c r="AB28" s="23"/>
      <c r="AC28" s="23"/>
      <c r="AD28" s="25">
        <f>AB27-AB28+AC28</f>
        <v>0</v>
      </c>
      <c r="AE28" s="25">
        <f t="shared" si="31"/>
        <v>0</v>
      </c>
      <c r="AF28" s="25">
        <v>0</v>
      </c>
      <c r="AG28" s="23"/>
      <c r="AH28" s="23"/>
      <c r="AI28" s="25">
        <f t="shared" si="8"/>
        <v>0</v>
      </c>
      <c r="AJ28" s="100">
        <v>0</v>
      </c>
      <c r="AK28" s="82">
        <v>0</v>
      </c>
      <c r="AL28" s="82">
        <v>0</v>
      </c>
      <c r="AM28" s="82">
        <v>0</v>
      </c>
      <c r="AO28" s="130">
        <f t="shared" si="9"/>
        <v>0</v>
      </c>
      <c r="AP28" s="130">
        <f t="shared" si="10"/>
        <v>0</v>
      </c>
      <c r="AT28" s="130">
        <f t="shared" si="11"/>
        <v>0</v>
      </c>
      <c r="AU28" s="130">
        <f t="shared" si="12"/>
        <v>0</v>
      </c>
      <c r="BD28" s="136">
        <v>1</v>
      </c>
      <c r="BE28">
        <f t="shared" si="13"/>
        <v>0</v>
      </c>
      <c r="BF28" s="137">
        <v>2</v>
      </c>
      <c r="BG28">
        <f t="shared" si="14"/>
        <v>0</v>
      </c>
      <c r="BH28" s="130">
        <f t="shared" si="15"/>
        <v>0</v>
      </c>
      <c r="BJ28" s="137">
        <v>1</v>
      </c>
      <c r="BK28">
        <f t="shared" si="16"/>
        <v>0</v>
      </c>
      <c r="BL28" s="137">
        <v>2</v>
      </c>
      <c r="BM28">
        <f t="shared" si="17"/>
        <v>0</v>
      </c>
      <c r="BN28" s="130">
        <f t="shared" si="18"/>
        <v>0</v>
      </c>
      <c r="BP28" s="137">
        <v>1</v>
      </c>
      <c r="BQ28">
        <f t="shared" si="19"/>
        <v>0</v>
      </c>
      <c r="BR28" s="137">
        <v>2</v>
      </c>
      <c r="BS28">
        <f t="shared" si="20"/>
        <v>0</v>
      </c>
      <c r="BT28" s="130">
        <f t="shared" si="21"/>
        <v>0</v>
      </c>
      <c r="BV28" s="137">
        <v>1</v>
      </c>
      <c r="BW28">
        <f t="shared" si="22"/>
        <v>0</v>
      </c>
      <c r="BX28" s="137">
        <v>2</v>
      </c>
      <c r="BY28">
        <f t="shared" si="25"/>
        <v>0</v>
      </c>
      <c r="BZ28" s="130">
        <f t="shared" si="23"/>
        <v>0</v>
      </c>
      <c r="CB28" s="130">
        <f t="shared" si="24"/>
        <v>0</v>
      </c>
    </row>
    <row r="29" spans="1:82" x14ac:dyDescent="0.3">
      <c r="A29" s="99">
        <v>44495</v>
      </c>
      <c r="B29" s="23">
        <v>0</v>
      </c>
      <c r="C29" s="23">
        <v>0</v>
      </c>
      <c r="D29" s="86">
        <v>0</v>
      </c>
      <c r="E29" s="86">
        <v>0</v>
      </c>
      <c r="F29" s="23">
        <v>0</v>
      </c>
      <c r="G29" s="23">
        <v>0</v>
      </c>
      <c r="H29" s="22">
        <f t="shared" si="0"/>
        <v>0</v>
      </c>
      <c r="I29" s="23">
        <v>0</v>
      </c>
      <c r="J29" s="23">
        <v>0</v>
      </c>
      <c r="K29" s="89">
        <f t="shared" si="1"/>
        <v>0</v>
      </c>
      <c r="L29" s="87">
        <f t="shared" ca="1" si="2"/>
        <v>0</v>
      </c>
      <c r="M29" s="23"/>
      <c r="N29" s="23"/>
      <c r="O29" s="22">
        <f t="shared" si="3"/>
        <v>0</v>
      </c>
      <c r="P29" s="23"/>
      <c r="Q29" s="23"/>
      <c r="R29" s="22">
        <f t="shared" si="4"/>
        <v>0</v>
      </c>
      <c r="S29" s="21" t="e">
        <f t="shared" si="26"/>
        <v>#DIV/0!</v>
      </c>
      <c r="T29" s="22">
        <f t="shared" ca="1" si="5"/>
        <v>0</v>
      </c>
      <c r="U29" s="157">
        <f t="shared" ca="1" si="6"/>
        <v>0</v>
      </c>
      <c r="V29" s="91"/>
      <c r="W29" s="23">
        <v>0</v>
      </c>
      <c r="X29" s="23">
        <v>0</v>
      </c>
      <c r="Y29" s="100">
        <f t="shared" si="7"/>
        <v>0</v>
      </c>
      <c r="Z29" s="100" t="e">
        <f t="shared" si="27"/>
        <v>#DIV/0!</v>
      </c>
      <c r="AA29" s="24"/>
      <c r="AB29" s="23"/>
      <c r="AC29" s="23"/>
      <c r="AD29" s="25">
        <v>0</v>
      </c>
      <c r="AE29" s="25">
        <f t="shared" si="31"/>
        <v>0</v>
      </c>
      <c r="AF29" s="25">
        <v>0</v>
      </c>
      <c r="AG29" s="23"/>
      <c r="AH29" s="23"/>
      <c r="AI29" s="25">
        <f t="shared" si="8"/>
        <v>0</v>
      </c>
      <c r="AJ29" s="100">
        <v>0</v>
      </c>
      <c r="AK29" s="82" t="e">
        <f t="shared" si="28"/>
        <v>#DIV/0!</v>
      </c>
      <c r="AL29" s="82" t="e">
        <f t="shared" si="29"/>
        <v>#DIV/0!</v>
      </c>
      <c r="AM29" s="82" t="e">
        <f t="shared" si="30"/>
        <v>#DIV/0!</v>
      </c>
      <c r="AO29" s="130" t="e">
        <f t="shared" si="9"/>
        <v>#DIV/0!</v>
      </c>
      <c r="AP29" s="130" t="e">
        <f t="shared" si="10"/>
        <v>#DIV/0!</v>
      </c>
      <c r="AT29" s="130">
        <f t="shared" si="11"/>
        <v>0</v>
      </c>
      <c r="AU29" s="130">
        <f t="shared" si="12"/>
        <v>0</v>
      </c>
      <c r="BD29" s="136">
        <v>1</v>
      </c>
      <c r="BE29">
        <f t="shared" si="13"/>
        <v>0</v>
      </c>
      <c r="BF29" s="137">
        <v>2</v>
      </c>
      <c r="BG29">
        <f t="shared" si="14"/>
        <v>0</v>
      </c>
      <c r="BH29" s="130">
        <f t="shared" si="15"/>
        <v>0</v>
      </c>
      <c r="BJ29" s="137">
        <v>1</v>
      </c>
      <c r="BK29">
        <f t="shared" si="16"/>
        <v>0</v>
      </c>
      <c r="BL29" s="137">
        <v>2</v>
      </c>
      <c r="BM29">
        <f t="shared" si="17"/>
        <v>0</v>
      </c>
      <c r="BN29" s="130">
        <f t="shared" si="18"/>
        <v>0</v>
      </c>
      <c r="BP29" s="137">
        <v>1</v>
      </c>
      <c r="BQ29">
        <f t="shared" si="19"/>
        <v>0</v>
      </c>
      <c r="BR29" s="137">
        <v>2</v>
      </c>
      <c r="BS29">
        <f t="shared" si="20"/>
        <v>0</v>
      </c>
      <c r="BT29" s="130">
        <f t="shared" si="21"/>
        <v>0</v>
      </c>
      <c r="BV29" s="137">
        <v>1</v>
      </c>
      <c r="BW29">
        <f t="shared" si="22"/>
        <v>0</v>
      </c>
      <c r="BX29" s="137">
        <v>2</v>
      </c>
      <c r="BY29">
        <f t="shared" si="25"/>
        <v>0</v>
      </c>
      <c r="BZ29" s="130">
        <f t="shared" si="23"/>
        <v>0</v>
      </c>
      <c r="CB29" s="130">
        <f t="shared" si="24"/>
        <v>0</v>
      </c>
    </row>
    <row r="30" spans="1:82" x14ac:dyDescent="0.3">
      <c r="A30" s="99">
        <v>44496</v>
      </c>
      <c r="B30" s="23">
        <v>0</v>
      </c>
      <c r="C30" s="23">
        <v>0</v>
      </c>
      <c r="D30" s="86">
        <v>0</v>
      </c>
      <c r="E30" s="86">
        <v>0</v>
      </c>
      <c r="F30" s="23">
        <v>0</v>
      </c>
      <c r="G30" s="23">
        <v>0</v>
      </c>
      <c r="H30" s="22">
        <f t="shared" si="0"/>
        <v>0</v>
      </c>
      <c r="I30" s="23">
        <v>0</v>
      </c>
      <c r="J30" s="23">
        <v>0</v>
      </c>
      <c r="K30" s="89">
        <f t="shared" si="1"/>
        <v>0</v>
      </c>
      <c r="L30" s="87">
        <f t="shared" ca="1" si="2"/>
        <v>0</v>
      </c>
      <c r="M30" s="23"/>
      <c r="N30" s="23"/>
      <c r="O30" s="22">
        <f t="shared" si="3"/>
        <v>0</v>
      </c>
      <c r="P30" s="23"/>
      <c r="Q30" s="23"/>
      <c r="R30" s="22">
        <f t="shared" si="4"/>
        <v>0</v>
      </c>
      <c r="S30" s="21">
        <v>0</v>
      </c>
      <c r="T30" s="22">
        <f t="shared" ca="1" si="5"/>
        <v>0</v>
      </c>
      <c r="U30" s="157">
        <f t="shared" ca="1" si="6"/>
        <v>0</v>
      </c>
      <c r="V30" s="91"/>
      <c r="W30" s="23">
        <v>0</v>
      </c>
      <c r="X30" s="23">
        <v>0</v>
      </c>
      <c r="Y30" s="100">
        <f t="shared" si="7"/>
        <v>0</v>
      </c>
      <c r="Z30" s="100">
        <v>0</v>
      </c>
      <c r="AA30" s="24"/>
      <c r="AB30" s="23"/>
      <c r="AC30" s="23"/>
      <c r="AD30" s="25">
        <f>AB29-AB30+AC30</f>
        <v>0</v>
      </c>
      <c r="AE30" s="25">
        <f t="shared" si="31"/>
        <v>0</v>
      </c>
      <c r="AF30" s="25">
        <v>0</v>
      </c>
      <c r="AG30" s="23"/>
      <c r="AH30" s="23"/>
      <c r="AI30" s="25">
        <f t="shared" si="8"/>
        <v>0</v>
      </c>
      <c r="AJ30" s="100">
        <v>0</v>
      </c>
      <c r="AK30" s="82">
        <v>0</v>
      </c>
      <c r="AL30" s="82">
        <v>0</v>
      </c>
      <c r="AM30" s="82">
        <v>0</v>
      </c>
      <c r="AO30" s="130">
        <f t="shared" si="9"/>
        <v>0</v>
      </c>
      <c r="AP30" s="130">
        <f t="shared" si="10"/>
        <v>0</v>
      </c>
      <c r="AT30" s="130">
        <f t="shared" si="11"/>
        <v>0</v>
      </c>
      <c r="AU30" s="130">
        <f t="shared" si="12"/>
        <v>0</v>
      </c>
      <c r="BD30" s="136">
        <v>1</v>
      </c>
      <c r="BE30">
        <f t="shared" si="13"/>
        <v>0</v>
      </c>
      <c r="BF30" s="137">
        <v>2</v>
      </c>
      <c r="BG30">
        <f t="shared" si="14"/>
        <v>0</v>
      </c>
      <c r="BH30" s="130">
        <f t="shared" si="15"/>
        <v>0</v>
      </c>
      <c r="BJ30" s="137">
        <v>1</v>
      </c>
      <c r="BK30">
        <f t="shared" si="16"/>
        <v>0</v>
      </c>
      <c r="BL30" s="137">
        <v>2</v>
      </c>
      <c r="BM30">
        <f t="shared" si="17"/>
        <v>0</v>
      </c>
      <c r="BN30" s="130">
        <f t="shared" si="18"/>
        <v>0</v>
      </c>
      <c r="BP30" s="137">
        <v>1</v>
      </c>
      <c r="BQ30">
        <f t="shared" si="19"/>
        <v>0</v>
      </c>
      <c r="BR30" s="137">
        <v>2</v>
      </c>
      <c r="BS30">
        <f t="shared" si="20"/>
        <v>0</v>
      </c>
      <c r="BT30" s="130">
        <f t="shared" si="21"/>
        <v>0</v>
      </c>
      <c r="BV30" s="137">
        <v>1</v>
      </c>
      <c r="BW30">
        <f t="shared" si="22"/>
        <v>0</v>
      </c>
      <c r="BX30" s="137">
        <v>2</v>
      </c>
      <c r="BY30">
        <f t="shared" si="25"/>
        <v>0</v>
      </c>
      <c r="BZ30" s="130">
        <f t="shared" si="23"/>
        <v>0</v>
      </c>
      <c r="CB30" s="130">
        <f t="shared" si="24"/>
        <v>0</v>
      </c>
    </row>
    <row r="31" spans="1:82" x14ac:dyDescent="0.3">
      <c r="A31" s="99">
        <v>44497</v>
      </c>
      <c r="B31" s="23">
        <v>0</v>
      </c>
      <c r="C31" s="23">
        <v>0</v>
      </c>
      <c r="D31" s="86">
        <v>0</v>
      </c>
      <c r="E31" s="86">
        <v>0</v>
      </c>
      <c r="F31" s="23">
        <v>0</v>
      </c>
      <c r="G31" s="23">
        <v>0</v>
      </c>
      <c r="H31" s="22">
        <f t="shared" si="0"/>
        <v>0</v>
      </c>
      <c r="I31" s="23">
        <v>0</v>
      </c>
      <c r="J31" s="23">
        <v>0</v>
      </c>
      <c r="K31" s="89">
        <f t="shared" si="1"/>
        <v>0</v>
      </c>
      <c r="L31" s="87">
        <f t="shared" ca="1" si="2"/>
        <v>0</v>
      </c>
      <c r="M31" s="23"/>
      <c r="N31" s="23"/>
      <c r="O31" s="22">
        <f t="shared" si="3"/>
        <v>0</v>
      </c>
      <c r="P31" s="23"/>
      <c r="Q31" s="23"/>
      <c r="R31" s="22">
        <f t="shared" si="4"/>
        <v>0</v>
      </c>
      <c r="S31" s="21">
        <v>0</v>
      </c>
      <c r="T31" s="22">
        <f t="shared" ca="1" si="5"/>
        <v>0</v>
      </c>
      <c r="U31" s="157">
        <f t="shared" ca="1" si="6"/>
        <v>0</v>
      </c>
      <c r="V31" s="91"/>
      <c r="W31" s="23">
        <v>0</v>
      </c>
      <c r="X31" s="23">
        <v>0</v>
      </c>
      <c r="Y31" s="100">
        <f t="shared" si="7"/>
        <v>0</v>
      </c>
      <c r="Z31" s="100">
        <v>0</v>
      </c>
      <c r="AA31" s="24"/>
      <c r="AB31" s="23"/>
      <c r="AC31" s="23"/>
      <c r="AD31" s="25">
        <f>AB30-AB31+AC31</f>
        <v>0</v>
      </c>
      <c r="AE31" s="25">
        <f t="shared" si="31"/>
        <v>0</v>
      </c>
      <c r="AF31" s="25">
        <v>0</v>
      </c>
      <c r="AG31" s="23"/>
      <c r="AH31" s="23"/>
      <c r="AI31" s="25">
        <f t="shared" si="8"/>
        <v>0</v>
      </c>
      <c r="AJ31" s="100">
        <v>0</v>
      </c>
      <c r="AK31" s="82">
        <v>0</v>
      </c>
      <c r="AL31" s="82">
        <v>0</v>
      </c>
      <c r="AM31" s="82">
        <v>0</v>
      </c>
      <c r="AO31" s="130">
        <f t="shared" si="9"/>
        <v>0</v>
      </c>
      <c r="AP31" s="130">
        <f t="shared" si="10"/>
        <v>0</v>
      </c>
      <c r="AT31" s="130">
        <f t="shared" si="11"/>
        <v>0</v>
      </c>
      <c r="AU31" s="130">
        <f t="shared" si="12"/>
        <v>0</v>
      </c>
      <c r="BD31" s="136">
        <v>1</v>
      </c>
      <c r="BE31">
        <f t="shared" si="13"/>
        <v>0</v>
      </c>
      <c r="BF31" s="137">
        <v>2</v>
      </c>
      <c r="BG31">
        <f t="shared" si="14"/>
        <v>0</v>
      </c>
      <c r="BH31" s="130">
        <f t="shared" si="15"/>
        <v>0</v>
      </c>
      <c r="BJ31" s="137">
        <v>1</v>
      </c>
      <c r="BK31">
        <f t="shared" si="16"/>
        <v>0</v>
      </c>
      <c r="BL31" s="137">
        <v>2</v>
      </c>
      <c r="BM31">
        <f t="shared" si="17"/>
        <v>0</v>
      </c>
      <c r="BN31" s="130">
        <f t="shared" si="18"/>
        <v>0</v>
      </c>
      <c r="BP31" s="137">
        <v>1</v>
      </c>
      <c r="BQ31">
        <f t="shared" si="19"/>
        <v>0</v>
      </c>
      <c r="BR31" s="137">
        <v>2</v>
      </c>
      <c r="BS31">
        <f t="shared" si="20"/>
        <v>0</v>
      </c>
      <c r="BT31" s="130">
        <f t="shared" si="21"/>
        <v>0</v>
      </c>
      <c r="BV31" s="137">
        <v>1</v>
      </c>
      <c r="BW31">
        <f t="shared" si="22"/>
        <v>0</v>
      </c>
      <c r="BX31" s="137">
        <v>2</v>
      </c>
      <c r="BY31">
        <f t="shared" si="25"/>
        <v>0</v>
      </c>
      <c r="BZ31" s="130">
        <f t="shared" si="23"/>
        <v>0</v>
      </c>
      <c r="CB31" s="130">
        <f t="shared" si="24"/>
        <v>0</v>
      </c>
      <c r="CD31" s="130" t="s">
        <v>69</v>
      </c>
    </row>
    <row r="32" spans="1:82" x14ac:dyDescent="0.3">
      <c r="A32" s="99">
        <v>44498</v>
      </c>
      <c r="B32" s="23">
        <v>0</v>
      </c>
      <c r="C32" s="23">
        <v>0</v>
      </c>
      <c r="D32" s="86">
        <v>0</v>
      </c>
      <c r="E32" s="86">
        <v>0</v>
      </c>
      <c r="F32" s="23">
        <v>0</v>
      </c>
      <c r="G32" s="23">
        <v>0</v>
      </c>
      <c r="H32" s="22">
        <f t="shared" si="0"/>
        <v>0</v>
      </c>
      <c r="I32" s="23">
        <v>0</v>
      </c>
      <c r="J32" s="23">
        <v>0</v>
      </c>
      <c r="K32" s="89">
        <f t="shared" si="1"/>
        <v>0</v>
      </c>
      <c r="L32" s="87">
        <f t="shared" ca="1" si="2"/>
        <v>0</v>
      </c>
      <c r="M32" s="23"/>
      <c r="N32" s="23"/>
      <c r="O32" s="22">
        <f t="shared" si="3"/>
        <v>0</v>
      </c>
      <c r="P32" s="23"/>
      <c r="Q32" s="23"/>
      <c r="R32" s="22">
        <f t="shared" si="4"/>
        <v>0</v>
      </c>
      <c r="S32" s="21">
        <v>0</v>
      </c>
      <c r="T32" s="22">
        <f t="shared" ca="1" si="5"/>
        <v>0</v>
      </c>
      <c r="U32" s="157">
        <f t="shared" ca="1" si="6"/>
        <v>0</v>
      </c>
      <c r="V32" s="91"/>
      <c r="W32" s="23">
        <v>0</v>
      </c>
      <c r="X32" s="23">
        <v>0</v>
      </c>
      <c r="Y32" s="100">
        <f t="shared" si="7"/>
        <v>0</v>
      </c>
      <c r="Z32" s="100">
        <v>0</v>
      </c>
      <c r="AA32" s="24"/>
      <c r="AB32" s="23"/>
      <c r="AC32" s="23"/>
      <c r="AD32" s="25">
        <v>0</v>
      </c>
      <c r="AE32" s="25">
        <f t="shared" si="31"/>
        <v>0</v>
      </c>
      <c r="AF32" s="25">
        <v>0</v>
      </c>
      <c r="AG32" s="23"/>
      <c r="AH32" s="23"/>
      <c r="AI32" s="25">
        <f t="shared" si="8"/>
        <v>0</v>
      </c>
      <c r="AJ32" s="100">
        <v>0</v>
      </c>
      <c r="AK32" s="82">
        <v>0</v>
      </c>
      <c r="AL32" s="82">
        <v>0</v>
      </c>
      <c r="AM32" s="82">
        <v>0</v>
      </c>
      <c r="AO32" s="130">
        <f t="shared" si="9"/>
        <v>0</v>
      </c>
      <c r="AP32" s="130">
        <f t="shared" si="10"/>
        <v>0</v>
      </c>
      <c r="AT32" s="130">
        <f t="shared" si="11"/>
        <v>0</v>
      </c>
      <c r="AU32" s="130">
        <f t="shared" si="12"/>
        <v>0</v>
      </c>
      <c r="BD32" s="136">
        <v>1</v>
      </c>
      <c r="BE32">
        <f t="shared" si="13"/>
        <v>0</v>
      </c>
      <c r="BF32" s="137">
        <v>2</v>
      </c>
      <c r="BG32">
        <f t="shared" si="14"/>
        <v>0</v>
      </c>
      <c r="BH32" s="130">
        <f t="shared" si="15"/>
        <v>0</v>
      </c>
      <c r="BJ32" s="137">
        <v>1</v>
      </c>
      <c r="BK32">
        <f t="shared" si="16"/>
        <v>0</v>
      </c>
      <c r="BL32" s="137">
        <v>2</v>
      </c>
      <c r="BM32">
        <f t="shared" si="17"/>
        <v>0</v>
      </c>
      <c r="BN32" s="130">
        <f t="shared" si="18"/>
        <v>0</v>
      </c>
      <c r="BP32" s="137">
        <v>1</v>
      </c>
      <c r="BQ32">
        <f t="shared" si="19"/>
        <v>0</v>
      </c>
      <c r="BR32" s="137">
        <v>2</v>
      </c>
      <c r="BS32">
        <f t="shared" si="20"/>
        <v>0</v>
      </c>
      <c r="BT32" s="130">
        <f t="shared" si="21"/>
        <v>0</v>
      </c>
      <c r="BV32" s="137">
        <v>1</v>
      </c>
      <c r="BW32">
        <f t="shared" si="22"/>
        <v>0</v>
      </c>
      <c r="BX32" s="137">
        <v>2</v>
      </c>
      <c r="BY32">
        <f t="shared" si="25"/>
        <v>0</v>
      </c>
      <c r="BZ32" s="130">
        <f t="shared" si="23"/>
        <v>0</v>
      </c>
      <c r="CB32" s="130">
        <f t="shared" si="24"/>
        <v>0</v>
      </c>
    </row>
    <row r="33" spans="1:80" x14ac:dyDescent="0.3">
      <c r="A33" s="99">
        <v>44499</v>
      </c>
      <c r="B33" s="23">
        <v>0</v>
      </c>
      <c r="C33" s="23">
        <v>0</v>
      </c>
      <c r="D33" s="86">
        <v>0</v>
      </c>
      <c r="E33" s="86">
        <v>0</v>
      </c>
      <c r="F33" s="23">
        <v>0</v>
      </c>
      <c r="G33" s="23">
        <v>0</v>
      </c>
      <c r="H33" s="22">
        <f t="shared" si="0"/>
        <v>0</v>
      </c>
      <c r="I33" s="23">
        <v>0</v>
      </c>
      <c r="J33" s="23">
        <v>0</v>
      </c>
      <c r="K33" s="89">
        <f t="shared" si="1"/>
        <v>0</v>
      </c>
      <c r="L33" s="87">
        <f t="shared" ca="1" si="2"/>
        <v>0</v>
      </c>
      <c r="M33" s="23"/>
      <c r="N33" s="23"/>
      <c r="O33" s="22">
        <f t="shared" si="3"/>
        <v>0</v>
      </c>
      <c r="P33" s="23"/>
      <c r="Q33" s="23"/>
      <c r="R33" s="22">
        <f t="shared" si="4"/>
        <v>0</v>
      </c>
      <c r="S33" s="21" t="e">
        <f t="shared" si="26"/>
        <v>#DIV/0!</v>
      </c>
      <c r="T33" s="22">
        <f t="shared" ca="1" si="5"/>
        <v>0</v>
      </c>
      <c r="U33" s="157">
        <f t="shared" ca="1" si="6"/>
        <v>0</v>
      </c>
      <c r="V33" s="92"/>
      <c r="W33" s="23">
        <v>0</v>
      </c>
      <c r="X33" s="23">
        <v>0</v>
      </c>
      <c r="Y33" s="100">
        <f t="shared" si="7"/>
        <v>0</v>
      </c>
      <c r="Z33" s="100" t="e">
        <f t="shared" si="27"/>
        <v>#DIV/0!</v>
      </c>
      <c r="AA33" s="24"/>
      <c r="AB33" s="23"/>
      <c r="AC33" s="23"/>
      <c r="AD33" s="25">
        <f>AB32-AB33+AC33</f>
        <v>0</v>
      </c>
      <c r="AE33" s="25">
        <f t="shared" si="31"/>
        <v>0</v>
      </c>
      <c r="AF33" s="25">
        <v>0</v>
      </c>
      <c r="AG33" s="23"/>
      <c r="AH33" s="23"/>
      <c r="AI33" s="25">
        <f t="shared" si="8"/>
        <v>0</v>
      </c>
      <c r="AJ33" s="100">
        <v>0</v>
      </c>
      <c r="AK33" s="82" t="e">
        <f t="shared" si="28"/>
        <v>#DIV/0!</v>
      </c>
      <c r="AL33" s="82" t="e">
        <f t="shared" si="29"/>
        <v>#DIV/0!</v>
      </c>
      <c r="AM33" s="82" t="e">
        <f t="shared" si="30"/>
        <v>#DIV/0!</v>
      </c>
      <c r="AO33" s="130" t="e">
        <f t="shared" si="9"/>
        <v>#DIV/0!</v>
      </c>
      <c r="AP33" s="130" t="e">
        <f t="shared" si="10"/>
        <v>#DIV/0!</v>
      </c>
      <c r="AT33" s="130">
        <f t="shared" si="11"/>
        <v>0</v>
      </c>
      <c r="AU33" s="130">
        <f t="shared" si="12"/>
        <v>0</v>
      </c>
      <c r="BD33" s="136">
        <v>1</v>
      </c>
      <c r="BE33">
        <f t="shared" si="13"/>
        <v>0</v>
      </c>
      <c r="BF33" s="137">
        <v>2</v>
      </c>
      <c r="BG33">
        <f t="shared" si="14"/>
        <v>0</v>
      </c>
      <c r="BH33" s="130">
        <f t="shared" si="15"/>
        <v>0</v>
      </c>
      <c r="BJ33" s="137">
        <v>1</v>
      </c>
      <c r="BK33">
        <f t="shared" si="16"/>
        <v>0</v>
      </c>
      <c r="BL33" s="137">
        <v>2</v>
      </c>
      <c r="BM33">
        <f t="shared" si="17"/>
        <v>0</v>
      </c>
      <c r="BN33" s="130">
        <f t="shared" si="18"/>
        <v>0</v>
      </c>
      <c r="BP33" s="137">
        <v>1</v>
      </c>
      <c r="BQ33">
        <f t="shared" si="19"/>
        <v>0</v>
      </c>
      <c r="BR33" s="137">
        <v>2</v>
      </c>
      <c r="BS33">
        <f t="shared" si="20"/>
        <v>0</v>
      </c>
      <c r="BT33" s="130">
        <f t="shared" si="21"/>
        <v>0</v>
      </c>
      <c r="BV33" s="137">
        <v>1</v>
      </c>
      <c r="BW33">
        <f t="shared" si="22"/>
        <v>0</v>
      </c>
      <c r="BX33" s="137">
        <v>2</v>
      </c>
      <c r="BY33">
        <f t="shared" si="25"/>
        <v>0</v>
      </c>
      <c r="BZ33" s="130">
        <f t="shared" si="23"/>
        <v>0</v>
      </c>
      <c r="CB33" s="130">
        <f t="shared" si="24"/>
        <v>0</v>
      </c>
    </row>
    <row r="34" spans="1:80" x14ac:dyDescent="0.3">
      <c r="A34" s="99">
        <v>44500</v>
      </c>
      <c r="B34" s="23">
        <v>0</v>
      </c>
      <c r="C34" s="23">
        <v>0</v>
      </c>
      <c r="D34" s="86">
        <v>0</v>
      </c>
      <c r="E34" s="86">
        <v>0</v>
      </c>
      <c r="F34" s="23">
        <v>0</v>
      </c>
      <c r="G34" s="23">
        <v>0</v>
      </c>
      <c r="H34" s="22">
        <f t="shared" si="0"/>
        <v>0</v>
      </c>
      <c r="I34" s="23">
        <v>0</v>
      </c>
      <c r="J34" s="23">
        <v>0</v>
      </c>
      <c r="K34" s="89">
        <f t="shared" si="1"/>
        <v>0</v>
      </c>
      <c r="L34" s="87">
        <f t="shared" ca="1" si="2"/>
        <v>0</v>
      </c>
      <c r="M34" s="23"/>
      <c r="N34" s="23"/>
      <c r="O34" s="22">
        <f t="shared" si="3"/>
        <v>0</v>
      </c>
      <c r="P34" s="23"/>
      <c r="Q34" s="23"/>
      <c r="R34" s="22">
        <f t="shared" si="4"/>
        <v>0</v>
      </c>
      <c r="S34" s="21">
        <v>0</v>
      </c>
      <c r="T34" s="22">
        <f t="shared" ca="1" si="5"/>
        <v>0</v>
      </c>
      <c r="U34" s="157">
        <f t="shared" ca="1" si="6"/>
        <v>0</v>
      </c>
      <c r="V34" s="92"/>
      <c r="W34" s="23">
        <v>0</v>
      </c>
      <c r="X34" s="23">
        <v>0</v>
      </c>
      <c r="Y34" s="100">
        <f t="shared" si="7"/>
        <v>0</v>
      </c>
      <c r="Z34" s="100">
        <v>0</v>
      </c>
      <c r="AA34" s="24"/>
      <c r="AB34" s="23"/>
      <c r="AC34" s="23"/>
      <c r="AD34" s="25"/>
      <c r="AE34" s="25"/>
      <c r="AF34" s="25"/>
      <c r="AG34" s="23"/>
      <c r="AH34" s="23"/>
      <c r="AI34" s="25">
        <f t="shared" si="8"/>
        <v>0</v>
      </c>
      <c r="AJ34" s="100">
        <v>0</v>
      </c>
      <c r="AK34" s="82">
        <v>0</v>
      </c>
      <c r="AL34" s="82">
        <v>0</v>
      </c>
      <c r="AM34" s="82">
        <v>0</v>
      </c>
      <c r="AO34" s="130">
        <f t="shared" si="9"/>
        <v>0</v>
      </c>
      <c r="AP34" s="130">
        <f t="shared" si="10"/>
        <v>0</v>
      </c>
      <c r="AT34" s="130"/>
      <c r="AU34" s="130"/>
      <c r="BD34" s="136">
        <v>1</v>
      </c>
      <c r="BE34">
        <f t="shared" si="13"/>
        <v>0</v>
      </c>
      <c r="BF34" s="137">
        <v>2</v>
      </c>
      <c r="BG34">
        <f t="shared" si="14"/>
        <v>0</v>
      </c>
      <c r="BH34" s="130">
        <f t="shared" si="15"/>
        <v>0</v>
      </c>
      <c r="BJ34" s="137">
        <v>1</v>
      </c>
      <c r="BK34">
        <f t="shared" si="16"/>
        <v>0</v>
      </c>
      <c r="BL34" s="137">
        <v>2</v>
      </c>
      <c r="BM34">
        <f t="shared" si="17"/>
        <v>0</v>
      </c>
      <c r="BN34" s="130">
        <f t="shared" si="18"/>
        <v>0</v>
      </c>
      <c r="BP34" s="137">
        <v>1</v>
      </c>
      <c r="BQ34">
        <f t="shared" si="19"/>
        <v>0</v>
      </c>
      <c r="BR34" s="137">
        <v>2</v>
      </c>
      <c r="BT34" s="130">
        <f t="shared" si="21"/>
        <v>0</v>
      </c>
      <c r="BV34" s="137">
        <v>1</v>
      </c>
      <c r="BW34">
        <f t="shared" si="22"/>
        <v>0</v>
      </c>
      <c r="BX34" s="137">
        <v>2</v>
      </c>
      <c r="BY34" s="131">
        <f t="shared" si="25"/>
        <v>0</v>
      </c>
      <c r="BZ34" s="130">
        <f t="shared" si="23"/>
        <v>0</v>
      </c>
      <c r="CB34" s="130">
        <f t="shared" si="24"/>
        <v>0</v>
      </c>
    </row>
    <row r="35" spans="1:80" x14ac:dyDescent="0.3">
      <c r="A35" s="26" t="s">
        <v>70</v>
      </c>
      <c r="B35" s="22">
        <f>SUM(B4:B34)</f>
        <v>0</v>
      </c>
      <c r="C35" s="22">
        <f>SUM(C4:C34)</f>
        <v>0</v>
      </c>
      <c r="D35" s="22"/>
      <c r="E35" s="22"/>
      <c r="F35" s="22">
        <f t="shared" ref="F35:L35" si="32">SUM(F4:F34)</f>
        <v>0</v>
      </c>
      <c r="G35" s="22">
        <f t="shared" si="32"/>
        <v>0</v>
      </c>
      <c r="H35" s="22">
        <f t="shared" si="32"/>
        <v>0</v>
      </c>
      <c r="I35" s="22">
        <f t="shared" si="32"/>
        <v>0</v>
      </c>
      <c r="J35" s="22">
        <f t="shared" si="32"/>
        <v>0</v>
      </c>
      <c r="K35" s="22">
        <f t="shared" si="32"/>
        <v>0</v>
      </c>
      <c r="L35" s="22">
        <f t="shared" ca="1" si="32"/>
        <v>0</v>
      </c>
      <c r="M35" s="22">
        <f>SUM(M4:M33)</f>
        <v>0</v>
      </c>
      <c r="N35" s="22">
        <f>SUM(N4:N33)</f>
        <v>0</v>
      </c>
      <c r="O35" s="22">
        <f>SUM(O4:O34)</f>
        <v>0</v>
      </c>
      <c r="P35" s="22">
        <f>SUM(P4:P33)</f>
        <v>0</v>
      </c>
      <c r="Q35" s="22">
        <f>SUM(Q4:Q33)</f>
        <v>0</v>
      </c>
      <c r="R35" s="22">
        <f>SUM(R4:R34)</f>
        <v>0</v>
      </c>
      <c r="S35" s="21" t="e">
        <f t="shared" si="26"/>
        <v>#DIV/0!</v>
      </c>
      <c r="T35" s="22">
        <f t="shared" ref="T35:Y35" ca="1" si="33">SUM(T4:T34)</f>
        <v>0</v>
      </c>
      <c r="U35" s="22">
        <f t="shared" ca="1" si="33"/>
        <v>0</v>
      </c>
      <c r="V35" s="22">
        <f t="shared" si="33"/>
        <v>0</v>
      </c>
      <c r="W35" s="22">
        <f t="shared" si="33"/>
        <v>0</v>
      </c>
      <c r="X35" s="96">
        <f t="shared" si="33"/>
        <v>0</v>
      </c>
      <c r="Y35" s="100">
        <f t="shared" si="33"/>
        <v>0</v>
      </c>
      <c r="Z35" s="100" t="e">
        <f t="shared" ref="Z35" si="34">X35/H35</f>
        <v>#DIV/0!</v>
      </c>
      <c r="AB35" s="22">
        <f>SUM(AB4:AB33)</f>
        <v>0</v>
      </c>
      <c r="AC35" s="22">
        <f>SUM(AC4:AC33)</f>
        <v>0</v>
      </c>
      <c r="AD35" s="22">
        <f>SUM(AD4:AD33)</f>
        <v>0</v>
      </c>
      <c r="AE35" s="22">
        <f>SUM(AE4:AE33)</f>
        <v>0</v>
      </c>
      <c r="AH35" s="22">
        <f>SUM(AH4:AH33)</f>
        <v>0</v>
      </c>
      <c r="AJ35" s="100">
        <f>SUM(AJ4:AJ34)</f>
        <v>0</v>
      </c>
      <c r="AK35" s="82" t="e">
        <f t="shared" si="28"/>
        <v>#DIV/0!</v>
      </c>
      <c r="AL35" s="82" t="e">
        <f t="shared" si="29"/>
        <v>#DIV/0!</v>
      </c>
      <c r="AM35" s="82" t="e">
        <f t="shared" si="30"/>
        <v>#DIV/0!</v>
      </c>
      <c r="AO35" s="130" t="e">
        <f t="shared" si="9"/>
        <v>#DIV/0!</v>
      </c>
      <c r="AP35" s="130" t="e">
        <f t="shared" si="10"/>
        <v>#DIV/0!</v>
      </c>
      <c r="AR35" s="22">
        <f>SUM(AR4:AR33)</f>
        <v>0</v>
      </c>
    </row>
    <row r="36" spans="1:80" x14ac:dyDescent="0.3">
      <c r="A36" s="26" t="s">
        <v>71</v>
      </c>
      <c r="D36" s="85">
        <v>0</v>
      </c>
      <c r="E36" s="85">
        <v>0</v>
      </c>
      <c r="S36" s="21"/>
      <c r="U36" s="130">
        <f>1510183-1437323</f>
        <v>72860</v>
      </c>
      <c r="Z36" s="21" t="e">
        <f>AVERAGE(Z4:Z34)/100</f>
        <v>#DIV/0!</v>
      </c>
      <c r="AF36" s="130" t="e">
        <f>AE35/H35</f>
        <v>#DIV/0!</v>
      </c>
    </row>
    <row r="37" spans="1:80" x14ac:dyDescent="0.3">
      <c r="U37" s="130" t="s">
        <v>72</v>
      </c>
    </row>
    <row r="38" spans="1:80" ht="14.4" customHeight="1" x14ac:dyDescent="0.3">
      <c r="D38" s="130" t="s">
        <v>73</v>
      </c>
      <c r="AL38" s="88"/>
      <c r="AM38" s="93">
        <f>SUM(AJ15:AJ38)</f>
        <v>0</v>
      </c>
      <c r="AN38" s="94">
        <f t="shared" ref="AN38:AN67" si="35">AM38/1000</f>
        <v>0</v>
      </c>
    </row>
    <row r="39" spans="1:80" ht="14.4" customHeight="1" x14ac:dyDescent="0.3">
      <c r="AM39" s="93">
        <f>SUM(AJ39:AJ62)</f>
        <v>0</v>
      </c>
      <c r="AN39" s="94">
        <f t="shared" si="35"/>
        <v>0</v>
      </c>
    </row>
    <row r="40" spans="1:80" ht="14.4" customHeight="1" x14ac:dyDescent="0.3">
      <c r="AM40" s="93">
        <f>SUM(AJ63:AJ86)</f>
        <v>0</v>
      </c>
      <c r="AN40" s="94">
        <f t="shared" si="35"/>
        <v>0</v>
      </c>
    </row>
    <row r="41" spans="1:80" ht="14.4" customHeight="1" x14ac:dyDescent="0.3">
      <c r="AL41" s="88"/>
      <c r="AM41" s="93">
        <f>SUM(AJ87:AJ110)</f>
        <v>0</v>
      </c>
      <c r="AN41" s="94">
        <f t="shared" si="35"/>
        <v>0</v>
      </c>
      <c r="BD41" s="84"/>
      <c r="BE41" s="88"/>
      <c r="BF41" s="88"/>
      <c r="BG41" s="88"/>
      <c r="BH41" s="88"/>
    </row>
    <row r="42" spans="1:80" ht="14.4" customHeight="1" x14ac:dyDescent="0.3">
      <c r="AM42" s="93">
        <f>SUM(AJ111:AJ134)</f>
        <v>0</v>
      </c>
      <c r="AN42" s="94">
        <f t="shared" si="35"/>
        <v>0</v>
      </c>
      <c r="BD42" s="84"/>
    </row>
    <row r="43" spans="1:80" ht="14.4" customHeight="1" x14ac:dyDescent="0.3">
      <c r="F43" s="130">
        <f>F35+G35</f>
        <v>0</v>
      </c>
      <c r="AM43" s="93">
        <f>SUM(AJ135:AJ158)</f>
        <v>0</v>
      </c>
      <c r="AN43" s="94">
        <f t="shared" si="35"/>
        <v>0</v>
      </c>
      <c r="BD43" s="84"/>
    </row>
    <row r="44" spans="1:80" ht="14.4" customHeight="1" x14ac:dyDescent="0.3">
      <c r="W44" s="130">
        <v>109191361</v>
      </c>
      <c r="AM44" s="93">
        <f>SUM(AJ159:AJ182)</f>
        <v>0</v>
      </c>
      <c r="AN44" s="94">
        <f t="shared" si="35"/>
        <v>0</v>
      </c>
      <c r="BD44" s="84"/>
    </row>
    <row r="45" spans="1:80" ht="14.4" customHeight="1" x14ac:dyDescent="0.3">
      <c r="W45" s="130">
        <v>109158176</v>
      </c>
      <c r="AM45" s="93">
        <f>SUM(AJ183:AJ206)</f>
        <v>0</v>
      </c>
      <c r="AN45" s="94">
        <f t="shared" si="35"/>
        <v>0</v>
      </c>
      <c r="BD45" s="84"/>
    </row>
    <row r="46" spans="1:80" ht="14.4" customHeight="1" x14ac:dyDescent="0.3">
      <c r="W46" s="130">
        <v>109225325</v>
      </c>
      <c r="AM46" s="93">
        <f>SUM(AJ207:AJ230)</f>
        <v>0</v>
      </c>
      <c r="AN46" s="94">
        <f t="shared" si="35"/>
        <v>0</v>
      </c>
      <c r="BD46" s="84"/>
    </row>
    <row r="47" spans="1:80" ht="14.4" customHeight="1" x14ac:dyDescent="0.3">
      <c r="W47" s="130">
        <v>109293156</v>
      </c>
      <c r="AM47" s="93">
        <f>SUM(AJ231:AJ254)</f>
        <v>0</v>
      </c>
      <c r="AN47" s="94">
        <f t="shared" si="35"/>
        <v>0</v>
      </c>
      <c r="BD47" s="84"/>
    </row>
    <row r="48" spans="1:80" ht="14.4" customHeight="1" x14ac:dyDescent="0.3">
      <c r="AM48" s="93">
        <f>SUM(AJ255:AJ278)</f>
        <v>0</v>
      </c>
      <c r="AN48" s="94">
        <f t="shared" si="35"/>
        <v>0</v>
      </c>
      <c r="BD48" s="84"/>
    </row>
    <row r="49" spans="37:56" ht="14.4" customHeight="1" x14ac:dyDescent="0.3">
      <c r="AM49" s="93">
        <f>SUM(AJ279:AJ302)</f>
        <v>0</v>
      </c>
      <c r="AN49" s="94">
        <f t="shared" si="35"/>
        <v>0</v>
      </c>
      <c r="BD49" s="84"/>
    </row>
    <row r="50" spans="37:56" ht="14.4" customHeight="1" x14ac:dyDescent="0.3">
      <c r="AM50" s="93">
        <f>SUM(AJ303:AJ326)</f>
        <v>0</v>
      </c>
      <c r="AN50" s="94">
        <f t="shared" si="35"/>
        <v>0</v>
      </c>
      <c r="BD50" s="84"/>
    </row>
    <row r="51" spans="37:56" ht="14.4" customHeight="1" x14ac:dyDescent="0.3">
      <c r="AM51" s="93">
        <f>SUM(AJ327:AJ350)</f>
        <v>0</v>
      </c>
      <c r="AN51" s="94">
        <f t="shared" si="35"/>
        <v>0</v>
      </c>
      <c r="BD51" s="84"/>
    </row>
    <row r="52" spans="37:56" ht="14.4" customHeight="1" x14ac:dyDescent="0.3">
      <c r="AM52" s="93">
        <f>SUM(AJ351:AJ374)</f>
        <v>0</v>
      </c>
      <c r="AN52" s="94">
        <f t="shared" si="35"/>
        <v>0</v>
      </c>
      <c r="BD52" s="84"/>
    </row>
    <row r="53" spans="37:56" ht="14.4" customHeight="1" x14ac:dyDescent="0.3">
      <c r="AM53" s="93">
        <f>SUM(AJ375:AJ398)</f>
        <v>0</v>
      </c>
      <c r="AN53" s="94">
        <f t="shared" si="35"/>
        <v>0</v>
      </c>
      <c r="BD53" s="84"/>
    </row>
    <row r="54" spans="37:56" ht="14.4" customHeight="1" x14ac:dyDescent="0.3">
      <c r="AM54" s="93">
        <f>SUM(AJ399:AJ422)</f>
        <v>0</v>
      </c>
      <c r="AN54" s="94">
        <f t="shared" si="35"/>
        <v>0</v>
      </c>
      <c r="BD54" s="84"/>
    </row>
    <row r="55" spans="37:56" ht="14.4" customHeight="1" x14ac:dyDescent="0.3">
      <c r="AM55" s="93">
        <f>SUM(AJ423:AJ446)</f>
        <v>0</v>
      </c>
      <c r="AN55" s="94">
        <f t="shared" si="35"/>
        <v>0</v>
      </c>
      <c r="BD55" s="84"/>
    </row>
    <row r="56" spans="37:56" ht="14.4" customHeight="1" x14ac:dyDescent="0.3">
      <c r="AM56" s="93">
        <f>SUM(AJ447:AJ470)</f>
        <v>0</v>
      </c>
      <c r="AN56" s="94">
        <f t="shared" si="35"/>
        <v>0</v>
      </c>
      <c r="BD56" s="84"/>
    </row>
    <row r="57" spans="37:56" ht="14.4" customHeight="1" x14ac:dyDescent="0.3">
      <c r="AM57" s="93">
        <f>SUM(AJ471:AJ494)</f>
        <v>0</v>
      </c>
      <c r="AN57" s="94">
        <f t="shared" si="35"/>
        <v>0</v>
      </c>
      <c r="BD57" s="84"/>
    </row>
    <row r="58" spans="37:56" ht="14.4" customHeight="1" x14ac:dyDescent="0.3">
      <c r="AM58" s="93">
        <f>SUM(AJ495:AJ518)</f>
        <v>0</v>
      </c>
      <c r="AN58" s="94">
        <f t="shared" si="35"/>
        <v>0</v>
      </c>
      <c r="BD58" s="84"/>
    </row>
    <row r="59" spans="37:56" ht="14.4" customHeight="1" x14ac:dyDescent="0.3">
      <c r="AM59" s="93">
        <f>SUM(AJ519:AJ542)</f>
        <v>0</v>
      </c>
      <c r="AN59" s="94">
        <f t="shared" si="35"/>
        <v>0</v>
      </c>
      <c r="BD59" s="84"/>
    </row>
    <row r="60" spans="37:56" ht="14.4" customHeight="1" x14ac:dyDescent="0.3">
      <c r="AK60" s="130">
        <f>152553/1000</f>
        <v>152.553</v>
      </c>
      <c r="AL60" s="130">
        <v>152.553</v>
      </c>
      <c r="AM60" s="93">
        <f>SUM(AJ543:AJ566)</f>
        <v>0</v>
      </c>
      <c r="AN60" s="94">
        <f t="shared" si="35"/>
        <v>0</v>
      </c>
      <c r="BD60" s="84"/>
    </row>
    <row r="61" spans="37:56" ht="14.4" customHeight="1" x14ac:dyDescent="0.3">
      <c r="AK61" s="130">
        <v>154213</v>
      </c>
      <c r="AL61" s="130">
        <v>154.21299999999999</v>
      </c>
      <c r="AM61" s="93">
        <f>SUM(AJ567:AJ590)</f>
        <v>0</v>
      </c>
      <c r="AN61" s="94">
        <f t="shared" si="35"/>
        <v>0</v>
      </c>
    </row>
    <row r="62" spans="37:56" ht="14.4" customHeight="1" x14ac:dyDescent="0.3">
      <c r="AK62" s="130">
        <v>155855</v>
      </c>
      <c r="AL62" s="130">
        <v>155.85499999999999</v>
      </c>
      <c r="AM62" s="93">
        <f>SUM(AJ591:AJ614)</f>
        <v>0</v>
      </c>
      <c r="AN62" s="94">
        <f t="shared" si="35"/>
        <v>0</v>
      </c>
    </row>
    <row r="63" spans="37:56" ht="14.4" customHeight="1" x14ac:dyDescent="0.3">
      <c r="AK63" s="130">
        <v>156964</v>
      </c>
      <c r="AL63" s="130">
        <v>156.964</v>
      </c>
      <c r="AM63" s="93">
        <f>SUM(AJ615:AJ638)</f>
        <v>0</v>
      </c>
      <c r="AN63" s="94">
        <f t="shared" si="35"/>
        <v>0</v>
      </c>
    </row>
    <row r="64" spans="37:56" ht="14.4" customHeight="1" x14ac:dyDescent="0.3">
      <c r="AK64" s="130">
        <v>157863</v>
      </c>
      <c r="AL64" s="130">
        <v>157.863</v>
      </c>
      <c r="AM64" s="93">
        <f>SUM(AJ639:AJ662)</f>
        <v>0</v>
      </c>
      <c r="AN64" s="94">
        <f t="shared" si="35"/>
        <v>0</v>
      </c>
    </row>
    <row r="65" spans="37:40" ht="14.4" customHeight="1" x14ac:dyDescent="0.3">
      <c r="AK65" s="130">
        <v>157998</v>
      </c>
      <c r="AL65" s="130">
        <v>157.99799999999999</v>
      </c>
      <c r="AM65" s="93">
        <f>SUM(AJ663:AJ686)</f>
        <v>0</v>
      </c>
      <c r="AN65" s="94">
        <f t="shared" si="35"/>
        <v>0</v>
      </c>
    </row>
    <row r="66" spans="37:40" ht="14.4" customHeight="1" x14ac:dyDescent="0.3">
      <c r="AK66" s="130">
        <v>123265</v>
      </c>
      <c r="AL66" s="130">
        <v>123.265</v>
      </c>
      <c r="AM66" s="93">
        <f>SUM(AJ687:AJ710)</f>
        <v>0</v>
      </c>
      <c r="AN66" s="94">
        <f t="shared" si="35"/>
        <v>0</v>
      </c>
    </row>
    <row r="67" spans="37:40" ht="14.4" customHeight="1" x14ac:dyDescent="0.3">
      <c r="AK67" s="130">
        <v>156079</v>
      </c>
      <c r="AL67" s="130">
        <v>156.07900000000001</v>
      </c>
      <c r="AM67" s="93">
        <f>SUM(AJ712:AJ734)</f>
        <v>0</v>
      </c>
      <c r="AN67" s="94">
        <f t="shared" si="35"/>
        <v>0</v>
      </c>
    </row>
    <row r="68" spans="37:40" x14ac:dyDescent="0.3">
      <c r="AK68" s="130">
        <v>156272</v>
      </c>
      <c r="AL68" s="130">
        <v>156.27199999999999</v>
      </c>
    </row>
    <row r="69" spans="37:40" x14ac:dyDescent="0.3">
      <c r="AK69" s="130">
        <v>156025</v>
      </c>
      <c r="AL69" s="130">
        <v>156.02500000000001</v>
      </c>
    </row>
    <row r="70" spans="37:40" x14ac:dyDescent="0.3">
      <c r="AK70" s="130">
        <v>157143</v>
      </c>
      <c r="AL70" s="130">
        <v>157.143</v>
      </c>
    </row>
    <row r="71" spans="37:40" x14ac:dyDescent="0.3">
      <c r="AK71" s="130">
        <v>91405</v>
      </c>
      <c r="AL71" s="130">
        <v>91.405000000000001</v>
      </c>
    </row>
    <row r="72" spans="37:40" x14ac:dyDescent="0.3">
      <c r="AK72" s="130">
        <v>131206</v>
      </c>
      <c r="AL72" s="130">
        <v>131.20599999999999</v>
      </c>
    </row>
    <row r="73" spans="37:40" x14ac:dyDescent="0.3">
      <c r="AK73" s="130">
        <v>155586</v>
      </c>
      <c r="AL73" s="130">
        <v>155.58600000000001</v>
      </c>
    </row>
    <row r="74" spans="37:40" x14ac:dyDescent="0.3">
      <c r="AK74" s="130">
        <v>156274</v>
      </c>
      <c r="AL74" s="130">
        <v>156.274</v>
      </c>
    </row>
    <row r="75" spans="37:40" x14ac:dyDescent="0.3">
      <c r="AK75" s="130">
        <v>156746</v>
      </c>
      <c r="AL75" s="130">
        <v>156.74600000000001</v>
      </c>
    </row>
    <row r="76" spans="37:40" x14ac:dyDescent="0.3">
      <c r="AK76" s="130">
        <v>154677</v>
      </c>
      <c r="AL76" s="130">
        <v>154.67699999999999</v>
      </c>
    </row>
    <row r="77" spans="37:40" x14ac:dyDescent="0.3">
      <c r="AK77" s="130">
        <v>152722</v>
      </c>
      <c r="AL77" s="130">
        <v>152.72200000000001</v>
      </c>
    </row>
    <row r="78" spans="37:40" x14ac:dyDescent="0.3">
      <c r="AK78" s="130">
        <v>152987</v>
      </c>
      <c r="AL78" s="130">
        <v>152.98699999999999</v>
      </c>
    </row>
    <row r="79" spans="37:40" x14ac:dyDescent="0.3">
      <c r="AK79" s="130">
        <v>153085</v>
      </c>
      <c r="AL79" s="130">
        <v>153.08500000000001</v>
      </c>
    </row>
    <row r="80" spans="37:40" x14ac:dyDescent="0.3">
      <c r="AK80" s="130">
        <v>153966</v>
      </c>
      <c r="AL80" s="130">
        <v>153.96600000000001</v>
      </c>
    </row>
    <row r="81" spans="37:38" x14ac:dyDescent="0.3">
      <c r="AK81" s="130">
        <v>153149</v>
      </c>
      <c r="AL81" s="130">
        <v>153.149</v>
      </c>
    </row>
    <row r="82" spans="37:38" x14ac:dyDescent="0.3">
      <c r="AK82" s="130">
        <v>151965</v>
      </c>
      <c r="AL82" s="130">
        <v>151.965</v>
      </c>
    </row>
    <row r="83" spans="37:38" x14ac:dyDescent="0.3">
      <c r="AK83" s="130">
        <v>28583</v>
      </c>
      <c r="AL83" s="130">
        <v>28.582999999999998</v>
      </c>
    </row>
    <row r="84" spans="37:38" x14ac:dyDescent="0.3">
      <c r="AK84" s="130">
        <v>126403</v>
      </c>
      <c r="AL84" s="130">
        <v>126.40300000000001</v>
      </c>
    </row>
    <row r="85" spans="37:38" x14ac:dyDescent="0.3">
      <c r="AK85" s="130">
        <v>153551</v>
      </c>
      <c r="AL85" s="130">
        <v>153.55099999999999</v>
      </c>
    </row>
    <row r="86" spans="37:38" x14ac:dyDescent="0.3">
      <c r="AK86" s="130">
        <v>154006</v>
      </c>
      <c r="AL86" s="130">
        <v>154.006</v>
      </c>
    </row>
    <row r="87" spans="37:38" x14ac:dyDescent="0.3">
      <c r="AK87" s="130">
        <v>155545</v>
      </c>
      <c r="AL87" s="130">
        <v>155.54499999999999</v>
      </c>
    </row>
    <row r="88" spans="37:38" x14ac:dyDescent="0.3">
      <c r="AK88" s="130">
        <v>156117</v>
      </c>
      <c r="AL88" s="130">
        <v>156.11699999999999</v>
      </c>
    </row>
    <row r="89" spans="37:38" x14ac:dyDescent="0.3">
      <c r="AK89" s="130">
        <v>155759</v>
      </c>
      <c r="AL89" s="130">
        <v>155.75899999999999</v>
      </c>
    </row>
    <row r="90" spans="37:38" x14ac:dyDescent="0.3">
      <c r="AK90" s="130">
        <v>155996</v>
      </c>
      <c r="AL90" s="130">
        <v>155.99600000000001</v>
      </c>
    </row>
  </sheetData>
  <mergeCells count="17">
    <mergeCell ref="A1:A2"/>
    <mergeCell ref="AA1:AF1"/>
    <mergeCell ref="W1:Z1"/>
    <mergeCell ref="AG1:AJ1"/>
    <mergeCell ref="B1:C1"/>
    <mergeCell ref="F1:H1"/>
    <mergeCell ref="P1:R1"/>
    <mergeCell ref="I1:K1"/>
    <mergeCell ref="M1:O1"/>
    <mergeCell ref="S1:S2"/>
    <mergeCell ref="D1:E1"/>
    <mergeCell ref="L1:L2"/>
    <mergeCell ref="AT1:AU1"/>
    <mergeCell ref="T1:T2"/>
    <mergeCell ref="U1:U2"/>
    <mergeCell ref="AO1:AP1"/>
    <mergeCell ref="AQ1:AR1"/>
  </mergeCells>
  <pageMargins left="0.75" right="0.75" top="1" bottom="1" header="0.5" footer="0.5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m">
                <anchor moveWithCells="1">
                  <from>
                    <xdr:col>0</xdr:col>
                    <xdr:colOff>121920</xdr:colOff>
                    <xdr:row>36</xdr:row>
                    <xdr:rowOff>60960</xdr:rowOff>
                  </from>
                  <to>
                    <xdr:col>0</xdr:col>
                    <xdr:colOff>876300</xdr:colOff>
                    <xdr:row>39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O47"/>
  <sheetViews>
    <sheetView topLeftCell="A13" workbookViewId="0">
      <selection activeCell="A40" sqref="A40"/>
    </sheetView>
  </sheetViews>
  <sheetFormatPr defaultColWidth="9.109375" defaultRowHeight="13.8" x14ac:dyDescent="0.3"/>
  <cols>
    <col min="1" max="1" width="14.33203125" style="130" bestFit="1" customWidth="1"/>
    <col min="2" max="2" width="13.88671875" style="130" bestFit="1" customWidth="1"/>
    <col min="3" max="3" width="14" style="130" bestFit="1" customWidth="1"/>
    <col min="4" max="4" width="15.6640625" style="130" customWidth="1"/>
    <col min="5" max="5" width="14.109375" style="130" bestFit="1" customWidth="1"/>
    <col min="6" max="6" width="14.109375" style="130" customWidth="1"/>
    <col min="7" max="7" width="15.5546875" style="130" bestFit="1" customWidth="1"/>
    <col min="8" max="8" width="13.88671875" style="130" customWidth="1"/>
    <col min="9" max="9" width="15.5546875" style="130" bestFit="1" customWidth="1"/>
    <col min="10" max="10" width="15.33203125" style="130" customWidth="1"/>
    <col min="11" max="11" width="11.33203125" style="130" customWidth="1"/>
    <col min="12" max="12" width="12.44140625" style="130" bestFit="1" customWidth="1"/>
    <col min="13" max="16" width="9.109375" style="130" customWidth="1"/>
    <col min="17" max="16384" width="9.109375" style="130"/>
  </cols>
  <sheetData>
    <row r="1" spans="1:14" ht="18" customHeight="1" thickTop="1" x14ac:dyDescent="0.35">
      <c r="A1" s="45" t="s">
        <v>74</v>
      </c>
      <c r="B1" s="46"/>
      <c r="C1" s="51"/>
      <c r="D1" s="145" t="s">
        <v>75</v>
      </c>
      <c r="E1" s="146"/>
      <c r="F1" s="146"/>
      <c r="G1" s="146"/>
      <c r="H1" s="27"/>
      <c r="I1" s="28" t="s">
        <v>76</v>
      </c>
      <c r="J1" s="29"/>
    </row>
    <row r="2" spans="1:14" ht="17.25" customHeight="1" x14ac:dyDescent="0.3">
      <c r="A2" s="47" t="s">
        <v>77</v>
      </c>
      <c r="B2" s="48"/>
      <c r="D2" s="147" t="s">
        <v>78</v>
      </c>
      <c r="E2" s="138"/>
      <c r="F2" s="138"/>
      <c r="G2" s="138"/>
      <c r="H2" s="30"/>
      <c r="I2" s="101" t="s">
        <v>79</v>
      </c>
      <c r="J2" s="102">
        <f>'Δεδομένα Μήνα'!A4</f>
        <v>44470</v>
      </c>
    </row>
    <row r="3" spans="1:14" ht="16.5" customHeight="1" thickBot="1" x14ac:dyDescent="0.35">
      <c r="A3" s="49" t="s">
        <v>80</v>
      </c>
      <c r="B3" s="50"/>
      <c r="D3" s="148" t="s">
        <v>81</v>
      </c>
      <c r="E3" s="149"/>
      <c r="F3" s="149"/>
      <c r="G3" s="149"/>
      <c r="H3" s="31"/>
      <c r="I3" s="52"/>
      <c r="J3" s="53"/>
    </row>
    <row r="4" spans="1:14" ht="14.4" customHeight="1" thickTop="1" x14ac:dyDescent="0.3">
      <c r="A4" s="32"/>
      <c r="B4" s="33" t="s">
        <v>82</v>
      </c>
      <c r="C4" s="33" t="s">
        <v>83</v>
      </c>
      <c r="D4" s="33" t="s">
        <v>83</v>
      </c>
      <c r="E4" s="33" t="s">
        <v>84</v>
      </c>
      <c r="F4" s="33" t="s">
        <v>85</v>
      </c>
      <c r="G4" s="34" t="s">
        <v>86</v>
      </c>
      <c r="H4" s="33" t="s">
        <v>87</v>
      </c>
      <c r="I4" s="34" t="s">
        <v>88</v>
      </c>
      <c r="J4" s="35" t="s">
        <v>89</v>
      </c>
      <c r="K4" s="36"/>
    </row>
    <row r="5" spans="1:14" x14ac:dyDescent="0.3">
      <c r="A5" s="37" t="s">
        <v>90</v>
      </c>
      <c r="B5" s="39" t="s">
        <v>91</v>
      </c>
      <c r="C5" s="38" t="s">
        <v>92</v>
      </c>
      <c r="D5" s="38" t="s">
        <v>93</v>
      </c>
      <c r="E5" s="38" t="s">
        <v>92</v>
      </c>
      <c r="F5" s="38" t="s">
        <v>92</v>
      </c>
      <c r="G5" s="38" t="s">
        <v>92</v>
      </c>
      <c r="H5" s="38" t="s">
        <v>94</v>
      </c>
      <c r="I5" s="38" t="s">
        <v>92</v>
      </c>
      <c r="J5" s="40" t="s">
        <v>95</v>
      </c>
    </row>
    <row r="6" spans="1:14" ht="14.4" customHeight="1" thickBot="1" x14ac:dyDescent="0.35">
      <c r="A6" s="41"/>
      <c r="B6" s="42" t="s">
        <v>96</v>
      </c>
      <c r="C6" s="42" t="s">
        <v>97</v>
      </c>
      <c r="D6" s="42" t="s">
        <v>98</v>
      </c>
      <c r="E6" s="42" t="s">
        <v>97</v>
      </c>
      <c r="F6" s="42" t="s">
        <v>97</v>
      </c>
      <c r="G6" s="42" t="s">
        <v>97</v>
      </c>
      <c r="H6" s="42" t="s">
        <v>98</v>
      </c>
      <c r="I6" s="42" t="s">
        <v>97</v>
      </c>
      <c r="J6" s="43" t="s">
        <v>99</v>
      </c>
    </row>
    <row r="7" spans="1:14" ht="14.4" customHeight="1" thickTop="1" x14ac:dyDescent="0.3">
      <c r="A7" s="103">
        <v>44044</v>
      </c>
      <c r="B7" s="104">
        <f>'Δεδομένα Μήνα'!Y4</f>
        <v>0</v>
      </c>
      <c r="C7" s="104">
        <f>'Δεδομένα Μήνα'!H4</f>
        <v>0</v>
      </c>
      <c r="D7" s="104">
        <f>'Δεδομένα Μήνα'!K4</f>
        <v>0</v>
      </c>
      <c r="E7" s="105">
        <f ca="1">'Δεδομένα Μήνα'!U4</f>
        <v>0</v>
      </c>
      <c r="F7" s="106">
        <f ca="1">'Δεδομένα Μήνα'!L4</f>
        <v>0</v>
      </c>
      <c r="G7" s="104">
        <f>'Δεδομένα Μήνα'!O4</f>
        <v>0</v>
      </c>
      <c r="H7" s="104">
        <f>'Δεδομένα Μήνα'!R4</f>
        <v>0</v>
      </c>
      <c r="I7" s="104">
        <f ca="1">'Δεδομένα Μήνα'!T4</f>
        <v>0</v>
      </c>
      <c r="J7" s="107">
        <f>'Δεδομένα Μήνα'!AJ4</f>
        <v>0</v>
      </c>
    </row>
    <row r="8" spans="1:14" x14ac:dyDescent="0.3">
      <c r="A8" s="108">
        <f>'Δεδομένα Μήνα'!A5</f>
        <v>44471</v>
      </c>
      <c r="B8" s="105">
        <f>'Δεδομένα Μήνα'!Y5</f>
        <v>0</v>
      </c>
      <c r="C8" s="105">
        <f>'Δεδομένα Μήνα'!H5</f>
        <v>0</v>
      </c>
      <c r="D8" s="105">
        <f>'Δεδομένα Μήνα'!K5</f>
        <v>0</v>
      </c>
      <c r="E8" s="105">
        <f ca="1">'Δεδομένα Μήνα'!U5</f>
        <v>0</v>
      </c>
      <c r="F8" s="109">
        <f ca="1">'Δεδομένα Μήνα'!L5</f>
        <v>0</v>
      </c>
      <c r="G8" s="105">
        <f>'Δεδομένα Μήνα'!O5</f>
        <v>0</v>
      </c>
      <c r="H8" s="105">
        <f>'Δεδομένα Μήνα'!R5</f>
        <v>0</v>
      </c>
      <c r="I8" s="105">
        <f ca="1">'Δεδομένα Μήνα'!T5</f>
        <v>0</v>
      </c>
      <c r="J8" s="110">
        <f>'Δεδομένα Μήνα'!AJ5</f>
        <v>0</v>
      </c>
      <c r="L8" s="90"/>
    </row>
    <row r="9" spans="1:14" x14ac:dyDescent="0.3">
      <c r="A9" s="108">
        <f>'Δεδομένα Μήνα'!A6</f>
        <v>44472</v>
      </c>
      <c r="B9" s="105">
        <f>'Δεδομένα Μήνα'!Y6</f>
        <v>0</v>
      </c>
      <c r="C9" s="105">
        <f>'Δεδομένα Μήνα'!H6</f>
        <v>0</v>
      </c>
      <c r="D9" s="105">
        <f>'Δεδομένα Μήνα'!K6</f>
        <v>0</v>
      </c>
      <c r="E9" s="105">
        <f ca="1">'Δεδομένα Μήνα'!U6</f>
        <v>0</v>
      </c>
      <c r="F9" s="109">
        <f ca="1">'Δεδομένα Μήνα'!L6</f>
        <v>0</v>
      </c>
      <c r="G9" s="105">
        <f>'Δεδομένα Μήνα'!O6</f>
        <v>0</v>
      </c>
      <c r="H9" s="105">
        <f>'Δεδομένα Μήνα'!R6</f>
        <v>0</v>
      </c>
      <c r="I9" s="105">
        <f ca="1">'Δεδομένα Μήνα'!T6</f>
        <v>0</v>
      </c>
      <c r="J9" s="110">
        <f>'Δεδομένα Μήνα'!AJ6</f>
        <v>0</v>
      </c>
      <c r="L9" s="90"/>
    </row>
    <row r="10" spans="1:14" x14ac:dyDescent="0.3">
      <c r="A10" s="108">
        <f>'Δεδομένα Μήνα'!A7</f>
        <v>44473</v>
      </c>
      <c r="B10" s="105">
        <f>'Δεδομένα Μήνα'!Y7</f>
        <v>0</v>
      </c>
      <c r="C10" s="105">
        <f>'Δεδομένα Μήνα'!H7</f>
        <v>0</v>
      </c>
      <c r="D10" s="105">
        <f>'Δεδομένα Μήνα'!K7</f>
        <v>0</v>
      </c>
      <c r="E10" s="105">
        <f ca="1">'Δεδομένα Μήνα'!U7</f>
        <v>0</v>
      </c>
      <c r="F10" s="109">
        <f ca="1">'Δεδομένα Μήνα'!L7</f>
        <v>0</v>
      </c>
      <c r="G10" s="105">
        <f>'Δεδομένα Μήνα'!O7</f>
        <v>0</v>
      </c>
      <c r="H10" s="105">
        <f>'Δεδομένα Μήνα'!R7</f>
        <v>0</v>
      </c>
      <c r="I10" s="105">
        <f ca="1">'Δεδομένα Μήνα'!T7</f>
        <v>0</v>
      </c>
      <c r="J10" s="110">
        <f>'Δεδομένα Μήνα'!AJ7</f>
        <v>0</v>
      </c>
      <c r="L10" s="90"/>
      <c r="N10" s="90"/>
    </row>
    <row r="11" spans="1:14" x14ac:dyDescent="0.3">
      <c r="A11" s="108">
        <f>'Δεδομένα Μήνα'!A8</f>
        <v>44474</v>
      </c>
      <c r="B11" s="105">
        <f>'Δεδομένα Μήνα'!Y8</f>
        <v>0</v>
      </c>
      <c r="C11" s="105">
        <f>'Δεδομένα Μήνα'!H8</f>
        <v>0</v>
      </c>
      <c r="D11" s="105">
        <f>'Δεδομένα Μήνα'!K8</f>
        <v>0</v>
      </c>
      <c r="E11" s="105">
        <f ca="1">'Δεδομένα Μήνα'!U8</f>
        <v>0</v>
      </c>
      <c r="F11" s="109">
        <f ca="1">'Δεδομένα Μήνα'!L8</f>
        <v>0</v>
      </c>
      <c r="G11" s="105">
        <f>'Δεδομένα Μήνα'!O8</f>
        <v>0</v>
      </c>
      <c r="H11" s="105">
        <f>'Δεδομένα Μήνα'!R8</f>
        <v>0</v>
      </c>
      <c r="I11" s="105">
        <f ca="1">'Δεδομένα Μήνα'!T8</f>
        <v>0</v>
      </c>
      <c r="J11" s="110">
        <f>'Δεδομένα Μήνα'!AJ8</f>
        <v>0</v>
      </c>
      <c r="L11" s="90"/>
      <c r="N11" s="90"/>
    </row>
    <row r="12" spans="1:14" x14ac:dyDescent="0.3">
      <c r="A12" s="108">
        <f>'Δεδομένα Μήνα'!A9</f>
        <v>44475</v>
      </c>
      <c r="B12" s="105">
        <f>'Δεδομένα Μήνα'!Y9</f>
        <v>0</v>
      </c>
      <c r="C12" s="105">
        <f>'Δεδομένα Μήνα'!H9</f>
        <v>0</v>
      </c>
      <c r="D12" s="105">
        <f>'Δεδομένα Μήνα'!K9</f>
        <v>0</v>
      </c>
      <c r="E12" s="105">
        <f ca="1">'Δεδομένα Μήνα'!U9</f>
        <v>0</v>
      </c>
      <c r="F12" s="109">
        <f ca="1">'Δεδομένα Μήνα'!L9</f>
        <v>0</v>
      </c>
      <c r="G12" s="105">
        <f>'Δεδομένα Μήνα'!O9</f>
        <v>0</v>
      </c>
      <c r="H12" s="105">
        <f>'Δεδομένα Μήνα'!R9</f>
        <v>0</v>
      </c>
      <c r="I12" s="105">
        <f ca="1">'Δεδομένα Μήνα'!T9</f>
        <v>0</v>
      </c>
      <c r="J12" s="110">
        <f>'Δεδομένα Μήνα'!AJ9</f>
        <v>0</v>
      </c>
      <c r="L12" s="90"/>
    </row>
    <row r="13" spans="1:14" x14ac:dyDescent="0.3">
      <c r="A13" s="108">
        <f>'Δεδομένα Μήνα'!A10</f>
        <v>44476</v>
      </c>
      <c r="B13" s="105">
        <f>'Δεδομένα Μήνα'!Y10</f>
        <v>0</v>
      </c>
      <c r="C13" s="105">
        <f>'Δεδομένα Μήνα'!H10</f>
        <v>0</v>
      </c>
      <c r="D13" s="105">
        <f>'Δεδομένα Μήνα'!K10</f>
        <v>0</v>
      </c>
      <c r="E13" s="105">
        <f ca="1">'Δεδομένα Μήνα'!U10</f>
        <v>0</v>
      </c>
      <c r="F13" s="109">
        <f ca="1">'Δεδομένα Μήνα'!L10</f>
        <v>0</v>
      </c>
      <c r="G13" s="105">
        <f>'Δεδομένα Μήνα'!O10</f>
        <v>0</v>
      </c>
      <c r="H13" s="105">
        <f>'Δεδομένα Μήνα'!R10</f>
        <v>0</v>
      </c>
      <c r="I13" s="105">
        <f ca="1">'Δεδομένα Μήνα'!T10</f>
        <v>0</v>
      </c>
      <c r="J13" s="110">
        <f>'Δεδομένα Μήνα'!AJ10</f>
        <v>0</v>
      </c>
    </row>
    <row r="14" spans="1:14" x14ac:dyDescent="0.3">
      <c r="A14" s="108">
        <f>'Δεδομένα Μήνα'!A11</f>
        <v>44477</v>
      </c>
      <c r="B14" s="105">
        <f>'Δεδομένα Μήνα'!Y11</f>
        <v>0</v>
      </c>
      <c r="C14" s="105">
        <f>'Δεδομένα Μήνα'!H11</f>
        <v>0</v>
      </c>
      <c r="D14" s="105">
        <f>'Δεδομένα Μήνα'!K11</f>
        <v>0</v>
      </c>
      <c r="E14" s="105">
        <f ca="1">'Δεδομένα Μήνα'!U11</f>
        <v>0</v>
      </c>
      <c r="F14" s="109">
        <f ca="1">'Δεδομένα Μήνα'!L11</f>
        <v>0</v>
      </c>
      <c r="G14" s="105">
        <f>'Δεδομένα Μήνα'!O11</f>
        <v>0</v>
      </c>
      <c r="H14" s="105">
        <f>'Δεδομένα Μήνα'!R11</f>
        <v>0</v>
      </c>
      <c r="I14" s="105">
        <f ca="1">'Δεδομένα Μήνα'!T11</f>
        <v>0</v>
      </c>
      <c r="J14" s="110">
        <f>'Δεδομένα Μήνα'!AJ11</f>
        <v>0</v>
      </c>
      <c r="L14" s="90"/>
    </row>
    <row r="15" spans="1:14" x14ac:dyDescent="0.3">
      <c r="A15" s="108">
        <f>'Δεδομένα Μήνα'!A12</f>
        <v>44478</v>
      </c>
      <c r="B15" s="105">
        <f>'Δεδομένα Μήνα'!Y12</f>
        <v>0</v>
      </c>
      <c r="C15" s="105">
        <f>'Δεδομένα Μήνα'!H12</f>
        <v>0</v>
      </c>
      <c r="D15" s="105">
        <f>'Δεδομένα Μήνα'!K12</f>
        <v>0</v>
      </c>
      <c r="E15" s="105">
        <f ca="1">'Δεδομένα Μήνα'!U12</f>
        <v>0</v>
      </c>
      <c r="F15" s="109">
        <f ca="1">'Δεδομένα Μήνα'!L12</f>
        <v>0</v>
      </c>
      <c r="G15" s="105">
        <f>'Δεδομένα Μήνα'!O12</f>
        <v>0</v>
      </c>
      <c r="H15" s="105">
        <f>'Δεδομένα Μήνα'!R12</f>
        <v>0</v>
      </c>
      <c r="I15" s="105">
        <f ca="1">'Δεδομένα Μήνα'!T12</f>
        <v>0</v>
      </c>
      <c r="J15" s="110">
        <f>'Δεδομένα Μήνα'!AJ12</f>
        <v>0</v>
      </c>
      <c r="L15" s="88"/>
    </row>
    <row r="16" spans="1:14" x14ac:dyDescent="0.3">
      <c r="A16" s="108">
        <f>'Δεδομένα Μήνα'!A13</f>
        <v>44479</v>
      </c>
      <c r="B16" s="105">
        <f>'Δεδομένα Μήνα'!Y13</f>
        <v>0</v>
      </c>
      <c r="C16" s="105">
        <f>'Δεδομένα Μήνα'!H13</f>
        <v>0</v>
      </c>
      <c r="D16" s="105">
        <f>'Δεδομένα Μήνα'!K13</f>
        <v>0</v>
      </c>
      <c r="E16" s="105">
        <f ca="1">'Δεδομένα Μήνα'!U13</f>
        <v>0</v>
      </c>
      <c r="F16" s="109">
        <f ca="1">'Δεδομένα Μήνα'!L13</f>
        <v>0</v>
      </c>
      <c r="G16" s="105">
        <f>'Δεδομένα Μήνα'!O13</f>
        <v>0</v>
      </c>
      <c r="H16" s="105">
        <f>'Δεδομένα Μήνα'!R13</f>
        <v>0</v>
      </c>
      <c r="I16" s="105">
        <f ca="1">'Δεδομένα Μήνα'!T13</f>
        <v>0</v>
      </c>
      <c r="J16" s="110">
        <f>'Δεδομένα Μήνα'!AJ13</f>
        <v>0</v>
      </c>
      <c r="K16" s="88"/>
      <c r="L16" s="88"/>
    </row>
    <row r="17" spans="1:12" x14ac:dyDescent="0.3">
      <c r="A17" s="108">
        <f>'Δεδομένα Μήνα'!A14</f>
        <v>44480</v>
      </c>
      <c r="B17" s="105">
        <f>'Δεδομένα Μήνα'!Y14</f>
        <v>0</v>
      </c>
      <c r="C17" s="105">
        <f>'Δεδομένα Μήνα'!H14</f>
        <v>0</v>
      </c>
      <c r="D17" s="105">
        <f>'Δεδομένα Μήνα'!K14</f>
        <v>0</v>
      </c>
      <c r="E17" s="105">
        <f ca="1">'Δεδομένα Μήνα'!U14</f>
        <v>0</v>
      </c>
      <c r="F17" s="109">
        <f ca="1">'Δεδομένα Μήνα'!L14</f>
        <v>0</v>
      </c>
      <c r="G17" s="105">
        <f>'Δεδομένα Μήνα'!O14</f>
        <v>0</v>
      </c>
      <c r="H17" s="105">
        <f>'Δεδομένα Μήνα'!R14</f>
        <v>0</v>
      </c>
      <c r="I17" s="105">
        <f ca="1">'Δεδομένα Μήνα'!T14</f>
        <v>0</v>
      </c>
      <c r="J17" s="110">
        <f>'Δεδομένα Μήνα'!AJ14</f>
        <v>0</v>
      </c>
      <c r="K17" s="88"/>
    </row>
    <row r="18" spans="1:12" x14ac:dyDescent="0.3">
      <c r="A18" s="108">
        <f>'Δεδομένα Μήνα'!A15</f>
        <v>44481</v>
      </c>
      <c r="B18" s="105">
        <f>'Δεδομένα Μήνα'!Y15</f>
        <v>0</v>
      </c>
      <c r="C18" s="105">
        <f>'Δεδομένα Μήνα'!H15</f>
        <v>0</v>
      </c>
      <c r="D18" s="105">
        <f>'Δεδομένα Μήνα'!K15</f>
        <v>0</v>
      </c>
      <c r="E18" s="105">
        <f ca="1">'Δεδομένα Μήνα'!U15</f>
        <v>0</v>
      </c>
      <c r="F18" s="109">
        <f ca="1">'Δεδομένα Μήνα'!L15</f>
        <v>0</v>
      </c>
      <c r="G18" s="105">
        <f>'Δεδομένα Μήνα'!O15</f>
        <v>0</v>
      </c>
      <c r="H18" s="105">
        <f>'Δεδομένα Μήνα'!R15</f>
        <v>0</v>
      </c>
      <c r="I18" s="105">
        <f ca="1">'Δεδομένα Μήνα'!T15</f>
        <v>0</v>
      </c>
      <c r="J18" s="110">
        <f>'Δεδομένα Μήνα'!AJ15</f>
        <v>0</v>
      </c>
      <c r="K18" s="88"/>
      <c r="L18" s="90"/>
    </row>
    <row r="19" spans="1:12" x14ac:dyDescent="0.3">
      <c r="A19" s="108">
        <f>'Δεδομένα Μήνα'!A16</f>
        <v>44482</v>
      </c>
      <c r="B19" s="105">
        <f>'Δεδομένα Μήνα'!Y16</f>
        <v>0</v>
      </c>
      <c r="C19" s="105">
        <f>'Δεδομένα Μήνα'!H16</f>
        <v>0</v>
      </c>
      <c r="D19" s="105">
        <f>'Δεδομένα Μήνα'!K16</f>
        <v>0</v>
      </c>
      <c r="E19" s="105">
        <f ca="1">'Δεδομένα Μήνα'!U16</f>
        <v>0</v>
      </c>
      <c r="F19" s="109">
        <f ca="1">'Δεδομένα Μήνα'!L16</f>
        <v>0</v>
      </c>
      <c r="G19" s="105">
        <f>'Δεδομένα Μήνα'!O16</f>
        <v>0</v>
      </c>
      <c r="H19" s="105">
        <f>'Δεδομένα Μήνα'!R16</f>
        <v>0</v>
      </c>
      <c r="I19" s="105">
        <f ca="1">'Δεδομένα Μήνα'!T16</f>
        <v>0</v>
      </c>
      <c r="J19" s="110">
        <f>'Δεδομένα Μήνα'!AJ16</f>
        <v>0</v>
      </c>
      <c r="K19" s="88"/>
    </row>
    <row r="20" spans="1:12" x14ac:dyDescent="0.3">
      <c r="A20" s="108">
        <f>'Δεδομένα Μήνα'!A17</f>
        <v>44483</v>
      </c>
      <c r="B20" s="105">
        <f>'Δεδομένα Μήνα'!Y17</f>
        <v>0</v>
      </c>
      <c r="C20" s="105">
        <f>'Δεδομένα Μήνα'!H17</f>
        <v>0</v>
      </c>
      <c r="D20" s="105">
        <f>'Δεδομένα Μήνα'!K17</f>
        <v>0</v>
      </c>
      <c r="E20" s="105">
        <f ca="1">'Δεδομένα Μήνα'!U17</f>
        <v>0</v>
      </c>
      <c r="F20" s="109">
        <f ca="1">'Δεδομένα Μήνα'!L17</f>
        <v>0</v>
      </c>
      <c r="G20" s="105">
        <f>'Δεδομένα Μήνα'!O17</f>
        <v>0</v>
      </c>
      <c r="H20" s="105">
        <f>'Δεδομένα Μήνα'!R17</f>
        <v>0</v>
      </c>
      <c r="I20" s="105">
        <f ca="1">'Δεδομένα Μήνα'!T17</f>
        <v>0</v>
      </c>
      <c r="J20" s="110">
        <f>'Δεδομένα Μήνα'!AJ17</f>
        <v>0</v>
      </c>
      <c r="K20" s="88"/>
    </row>
    <row r="21" spans="1:12" x14ac:dyDescent="0.3">
      <c r="A21" s="108">
        <f>'Δεδομένα Μήνα'!A18</f>
        <v>44484</v>
      </c>
      <c r="B21" s="105">
        <f>'Δεδομένα Μήνα'!Y18</f>
        <v>0</v>
      </c>
      <c r="C21" s="105">
        <f>'Δεδομένα Μήνα'!H18</f>
        <v>0</v>
      </c>
      <c r="D21" s="105">
        <f>'Δεδομένα Μήνα'!K18</f>
        <v>0</v>
      </c>
      <c r="E21" s="105">
        <f ca="1">'Δεδομένα Μήνα'!U18</f>
        <v>0</v>
      </c>
      <c r="F21" s="109">
        <f ca="1">'Δεδομένα Μήνα'!L18</f>
        <v>0</v>
      </c>
      <c r="G21" s="105">
        <f>'Δεδομένα Μήνα'!O18</f>
        <v>0</v>
      </c>
      <c r="H21" s="105">
        <f>'Δεδομένα Μήνα'!R18</f>
        <v>0</v>
      </c>
      <c r="I21" s="105">
        <f ca="1">'Δεδομένα Μήνα'!T18</f>
        <v>0</v>
      </c>
      <c r="J21" s="110">
        <f>'Δεδομένα Μήνα'!AJ18</f>
        <v>0</v>
      </c>
      <c r="K21" s="88"/>
      <c r="L21" s="90"/>
    </row>
    <row r="22" spans="1:12" x14ac:dyDescent="0.3">
      <c r="A22" s="108">
        <f>'Δεδομένα Μήνα'!A19</f>
        <v>44485</v>
      </c>
      <c r="B22" s="105">
        <f>'Δεδομένα Μήνα'!Y19</f>
        <v>0</v>
      </c>
      <c r="C22" s="105">
        <f>'Δεδομένα Μήνα'!H19</f>
        <v>0</v>
      </c>
      <c r="D22" s="105">
        <f>'Δεδομένα Μήνα'!K19</f>
        <v>0</v>
      </c>
      <c r="E22" s="105">
        <f ca="1">'Δεδομένα Μήνα'!U19</f>
        <v>0</v>
      </c>
      <c r="F22" s="109">
        <f ca="1">'Δεδομένα Μήνα'!L19</f>
        <v>0</v>
      </c>
      <c r="G22" s="105">
        <f>'Δεδομένα Μήνα'!O19</f>
        <v>0</v>
      </c>
      <c r="H22" s="105">
        <f>'Δεδομένα Μήνα'!R19</f>
        <v>0</v>
      </c>
      <c r="I22" s="105">
        <f ca="1">'Δεδομένα Μήνα'!T19</f>
        <v>0</v>
      </c>
      <c r="J22" s="110">
        <f>'Δεδομένα Μήνα'!AJ19</f>
        <v>0</v>
      </c>
    </row>
    <row r="23" spans="1:12" x14ac:dyDescent="0.3">
      <c r="A23" s="108">
        <f>'Δεδομένα Μήνα'!A20</f>
        <v>44486</v>
      </c>
      <c r="B23" s="105">
        <f>'Δεδομένα Μήνα'!Y20</f>
        <v>0</v>
      </c>
      <c r="C23" s="105">
        <f>'Δεδομένα Μήνα'!H20</f>
        <v>0</v>
      </c>
      <c r="D23" s="105">
        <f>'Δεδομένα Μήνα'!K20</f>
        <v>0</v>
      </c>
      <c r="E23" s="105">
        <f ca="1">'Δεδομένα Μήνα'!U20</f>
        <v>0</v>
      </c>
      <c r="F23" s="109">
        <f ca="1">'Δεδομένα Μήνα'!L20</f>
        <v>0</v>
      </c>
      <c r="G23" s="105">
        <f>'Δεδομένα Μήνα'!O20</f>
        <v>0</v>
      </c>
      <c r="H23" s="105">
        <f>'Δεδομένα Μήνα'!R20</f>
        <v>0</v>
      </c>
      <c r="I23" s="105">
        <f ca="1">'Δεδομένα Μήνα'!T20</f>
        <v>0</v>
      </c>
      <c r="J23" s="110">
        <f>'Δεδομένα Μήνα'!AJ20</f>
        <v>0</v>
      </c>
    </row>
    <row r="24" spans="1:12" x14ac:dyDescent="0.3">
      <c r="A24" s="108">
        <f>'Δεδομένα Μήνα'!A21</f>
        <v>44487</v>
      </c>
      <c r="B24" s="105">
        <f>'Δεδομένα Μήνα'!Y21</f>
        <v>0</v>
      </c>
      <c r="C24" s="105">
        <f>'Δεδομένα Μήνα'!H21</f>
        <v>0</v>
      </c>
      <c r="D24" s="105">
        <f>'Δεδομένα Μήνα'!K21</f>
        <v>0</v>
      </c>
      <c r="E24" s="105">
        <f ca="1">'Δεδομένα Μήνα'!U21</f>
        <v>0</v>
      </c>
      <c r="F24" s="109">
        <f ca="1">'Δεδομένα Μήνα'!L21</f>
        <v>0</v>
      </c>
      <c r="G24" s="105">
        <f>'Δεδομένα Μήνα'!O21</f>
        <v>0</v>
      </c>
      <c r="H24" s="105">
        <f>'Δεδομένα Μήνα'!R21</f>
        <v>0</v>
      </c>
      <c r="I24" s="105">
        <f ca="1">'Δεδομένα Μήνα'!T21</f>
        <v>0</v>
      </c>
      <c r="J24" s="110">
        <f>'Δεδομένα Μήνα'!AJ21</f>
        <v>0</v>
      </c>
      <c r="K24" s="88"/>
      <c r="L24" s="88"/>
    </row>
    <row r="25" spans="1:12" x14ac:dyDescent="0.3">
      <c r="A25" s="108">
        <f>'Δεδομένα Μήνα'!A22</f>
        <v>44488</v>
      </c>
      <c r="B25" s="105">
        <f>'Δεδομένα Μήνα'!Y22</f>
        <v>0</v>
      </c>
      <c r="C25" s="105">
        <f>'Δεδομένα Μήνα'!H22</f>
        <v>0</v>
      </c>
      <c r="D25" s="105">
        <f>'Δεδομένα Μήνα'!K22</f>
        <v>0</v>
      </c>
      <c r="E25" s="105">
        <f ca="1">'Δεδομένα Μήνα'!U22</f>
        <v>0</v>
      </c>
      <c r="F25" s="109">
        <f ca="1">'Δεδομένα Μήνα'!L22</f>
        <v>0</v>
      </c>
      <c r="G25" s="105">
        <f>'Δεδομένα Μήνα'!O22</f>
        <v>0</v>
      </c>
      <c r="H25" s="105">
        <f>'Δεδομένα Μήνα'!R22</f>
        <v>0</v>
      </c>
      <c r="I25" s="105">
        <f ca="1">'Δεδομένα Μήνα'!T22</f>
        <v>0</v>
      </c>
      <c r="J25" s="110">
        <f>'Δεδομένα Μήνα'!AJ22</f>
        <v>0</v>
      </c>
      <c r="K25" s="88"/>
      <c r="L25" s="88"/>
    </row>
    <row r="26" spans="1:12" x14ac:dyDescent="0.3">
      <c r="A26" s="108">
        <f>'Δεδομένα Μήνα'!A23</f>
        <v>44489</v>
      </c>
      <c r="B26" s="105">
        <f>'Δεδομένα Μήνα'!Y23</f>
        <v>0</v>
      </c>
      <c r="C26" s="105">
        <f>'Δεδομένα Μήνα'!H23</f>
        <v>0</v>
      </c>
      <c r="D26" s="105">
        <f>'Δεδομένα Μήνα'!K23</f>
        <v>0</v>
      </c>
      <c r="E26" s="105">
        <f ca="1">'Δεδομένα Μήνα'!U23</f>
        <v>0</v>
      </c>
      <c r="F26" s="109">
        <f ca="1">'Δεδομένα Μήνα'!L23</f>
        <v>0</v>
      </c>
      <c r="G26" s="105">
        <f>'Δεδομένα Μήνα'!O23</f>
        <v>0</v>
      </c>
      <c r="H26" s="105">
        <f>'Δεδομένα Μήνα'!R23</f>
        <v>0</v>
      </c>
      <c r="I26" s="105">
        <f ca="1">'Δεδομένα Μήνα'!T23</f>
        <v>0</v>
      </c>
      <c r="J26" s="110">
        <f>'Δεδομένα Μήνα'!AJ23</f>
        <v>0</v>
      </c>
      <c r="L26" s="88"/>
    </row>
    <row r="27" spans="1:12" x14ac:dyDescent="0.3">
      <c r="A27" s="108">
        <f>'Δεδομένα Μήνα'!A24</f>
        <v>44490</v>
      </c>
      <c r="B27" s="105">
        <f>'Δεδομένα Μήνα'!Y24</f>
        <v>0</v>
      </c>
      <c r="C27" s="105">
        <f>'Δεδομένα Μήνα'!H24</f>
        <v>0</v>
      </c>
      <c r="D27" s="105">
        <f>'Δεδομένα Μήνα'!K24</f>
        <v>0</v>
      </c>
      <c r="E27" s="105">
        <f ca="1">'Δεδομένα Μήνα'!U24</f>
        <v>0</v>
      </c>
      <c r="F27" s="109">
        <f ca="1">'Δεδομένα Μήνα'!L24</f>
        <v>0</v>
      </c>
      <c r="G27" s="105">
        <f>'Δεδομένα Μήνα'!O24</f>
        <v>0</v>
      </c>
      <c r="H27" s="105">
        <f>'Δεδομένα Μήνα'!R24</f>
        <v>0</v>
      </c>
      <c r="I27" s="105">
        <f ca="1">'Δεδομένα Μήνα'!T24</f>
        <v>0</v>
      </c>
      <c r="J27" s="110">
        <f>'Δεδομένα Μήνα'!AJ24</f>
        <v>0</v>
      </c>
      <c r="L27" s="88"/>
    </row>
    <row r="28" spans="1:12" x14ac:dyDescent="0.3">
      <c r="A28" s="108">
        <f>'Δεδομένα Μήνα'!A25</f>
        <v>44491</v>
      </c>
      <c r="B28" s="105">
        <f>'Δεδομένα Μήνα'!Y25</f>
        <v>0</v>
      </c>
      <c r="C28" s="105">
        <f>'Δεδομένα Μήνα'!H25</f>
        <v>0</v>
      </c>
      <c r="D28" s="105">
        <f>'Δεδομένα Μήνα'!K25</f>
        <v>0</v>
      </c>
      <c r="E28" s="105">
        <f ca="1">'Δεδομένα Μήνα'!U25</f>
        <v>0</v>
      </c>
      <c r="F28" s="109">
        <f ca="1">'Δεδομένα Μήνα'!L25</f>
        <v>0</v>
      </c>
      <c r="G28" s="105">
        <f>'Δεδομένα Μήνα'!O25</f>
        <v>0</v>
      </c>
      <c r="H28" s="105">
        <f>'Δεδομένα Μήνα'!R25</f>
        <v>0</v>
      </c>
      <c r="I28" s="105">
        <f ca="1">'Δεδομένα Μήνα'!T25</f>
        <v>0</v>
      </c>
      <c r="J28" s="110">
        <f>'Δεδομένα Μήνα'!AJ25</f>
        <v>0</v>
      </c>
      <c r="L28" s="88"/>
    </row>
    <row r="29" spans="1:12" x14ac:dyDescent="0.3">
      <c r="A29" s="108">
        <f>'Δεδομένα Μήνα'!A26</f>
        <v>44492</v>
      </c>
      <c r="B29" s="105">
        <f>'Δεδομένα Μήνα'!Y26</f>
        <v>0</v>
      </c>
      <c r="C29" s="105">
        <f>'Δεδομένα Μήνα'!H26</f>
        <v>0</v>
      </c>
      <c r="D29" s="105">
        <f>'Δεδομένα Μήνα'!K26</f>
        <v>0</v>
      </c>
      <c r="E29" s="105">
        <f ca="1">'Δεδομένα Μήνα'!U26</f>
        <v>0</v>
      </c>
      <c r="F29" s="109">
        <f ca="1">'Δεδομένα Μήνα'!L26</f>
        <v>0</v>
      </c>
      <c r="G29" s="105">
        <f>'Δεδομένα Μήνα'!O26</f>
        <v>0</v>
      </c>
      <c r="H29" s="105">
        <f>'Δεδομένα Μήνα'!R26</f>
        <v>0</v>
      </c>
      <c r="I29" s="105">
        <f ca="1">'Δεδομένα Μήνα'!T26</f>
        <v>0</v>
      </c>
      <c r="J29" s="110">
        <f>'Δεδομένα Μήνα'!AJ26</f>
        <v>0</v>
      </c>
    </row>
    <row r="30" spans="1:12" x14ac:dyDescent="0.3">
      <c r="A30" s="108">
        <f>'Δεδομένα Μήνα'!A27</f>
        <v>44493</v>
      </c>
      <c r="B30" s="105">
        <f>'Δεδομένα Μήνα'!Y27</f>
        <v>0</v>
      </c>
      <c r="C30" s="105">
        <f>'Δεδομένα Μήνα'!H27</f>
        <v>0</v>
      </c>
      <c r="D30" s="105">
        <f>'Δεδομένα Μήνα'!K27</f>
        <v>0</v>
      </c>
      <c r="E30" s="105">
        <f ca="1">'Δεδομένα Μήνα'!U27</f>
        <v>0</v>
      </c>
      <c r="F30" s="109">
        <f ca="1">'Δεδομένα Μήνα'!L27</f>
        <v>0</v>
      </c>
      <c r="G30" s="105">
        <f>'Δεδομένα Μήνα'!O27</f>
        <v>0</v>
      </c>
      <c r="H30" s="105">
        <f>'Δεδομένα Μήνα'!R27</f>
        <v>0</v>
      </c>
      <c r="I30" s="105">
        <f ca="1">'Δεδομένα Μήνα'!T27</f>
        <v>0</v>
      </c>
      <c r="J30" s="110">
        <f>'Δεδομένα Μήνα'!AJ27</f>
        <v>0</v>
      </c>
      <c r="L30" s="88"/>
    </row>
    <row r="31" spans="1:12" x14ac:dyDescent="0.3">
      <c r="A31" s="108">
        <f>'Δεδομένα Μήνα'!A28</f>
        <v>44494</v>
      </c>
      <c r="B31" s="105">
        <f>'Δεδομένα Μήνα'!Y28</f>
        <v>0</v>
      </c>
      <c r="C31" s="105">
        <f>'Δεδομένα Μήνα'!H28</f>
        <v>0</v>
      </c>
      <c r="D31" s="105">
        <f>'Δεδομένα Μήνα'!K28</f>
        <v>0</v>
      </c>
      <c r="E31" s="105">
        <f ca="1">'Δεδομένα Μήνα'!U28</f>
        <v>0</v>
      </c>
      <c r="F31" s="109">
        <f ca="1">'Δεδομένα Μήνα'!L28</f>
        <v>0</v>
      </c>
      <c r="G31" s="105">
        <f>'Δεδομένα Μήνα'!O28</f>
        <v>0</v>
      </c>
      <c r="H31" s="105">
        <f>'Δεδομένα Μήνα'!R28</f>
        <v>0</v>
      </c>
      <c r="I31" s="105">
        <f ca="1">'Δεδομένα Μήνα'!T28</f>
        <v>0</v>
      </c>
      <c r="J31" s="110">
        <f>'Δεδομένα Μήνα'!AJ28</f>
        <v>0</v>
      </c>
      <c r="L31" s="88"/>
    </row>
    <row r="32" spans="1:12" x14ac:dyDescent="0.3">
      <c r="A32" s="108">
        <f>'Δεδομένα Μήνα'!A29</f>
        <v>44495</v>
      </c>
      <c r="B32" s="105">
        <f>'Δεδομένα Μήνα'!Y29</f>
        <v>0</v>
      </c>
      <c r="C32" s="105">
        <f>'Δεδομένα Μήνα'!H29</f>
        <v>0</v>
      </c>
      <c r="D32" s="105">
        <f>'Δεδομένα Μήνα'!K29</f>
        <v>0</v>
      </c>
      <c r="E32" s="105">
        <f ca="1">'Δεδομένα Μήνα'!U29</f>
        <v>0</v>
      </c>
      <c r="F32" s="109">
        <f ca="1">'Δεδομένα Μήνα'!L29</f>
        <v>0</v>
      </c>
      <c r="G32" s="105">
        <f>'Δεδομένα Μήνα'!O29</f>
        <v>0</v>
      </c>
      <c r="H32" s="105">
        <f>'Δεδομένα Μήνα'!R29</f>
        <v>0</v>
      </c>
      <c r="I32" s="105">
        <f ca="1">'Δεδομένα Μήνα'!T29</f>
        <v>0</v>
      </c>
      <c r="J32" s="110">
        <f>'Δεδομένα Μήνα'!AJ29</f>
        <v>0</v>
      </c>
    </row>
    <row r="33" spans="1:15" x14ac:dyDescent="0.3">
      <c r="A33" s="108">
        <f>'Δεδομένα Μήνα'!A30</f>
        <v>44496</v>
      </c>
      <c r="B33" s="105">
        <f>'Δεδομένα Μήνα'!Y30</f>
        <v>0</v>
      </c>
      <c r="C33" s="105">
        <f>'Δεδομένα Μήνα'!H30</f>
        <v>0</v>
      </c>
      <c r="D33" s="105">
        <f>'Δεδομένα Μήνα'!K30</f>
        <v>0</v>
      </c>
      <c r="E33" s="105">
        <f ca="1">'Δεδομένα Μήνα'!U30</f>
        <v>0</v>
      </c>
      <c r="F33" s="109">
        <f ca="1">'Δεδομένα Μήνα'!L30</f>
        <v>0</v>
      </c>
      <c r="G33" s="105">
        <f>'Δεδομένα Μήνα'!O30</f>
        <v>0</v>
      </c>
      <c r="H33" s="105">
        <f>'Δεδομένα Μήνα'!R30</f>
        <v>0</v>
      </c>
      <c r="I33" s="105">
        <f ca="1">'Δεδομένα Μήνα'!T30</f>
        <v>0</v>
      </c>
      <c r="J33" s="110">
        <f>'Δεδομένα Μήνα'!AJ30</f>
        <v>0</v>
      </c>
    </row>
    <row r="34" spans="1:15" x14ac:dyDescent="0.3">
      <c r="A34" s="108">
        <f>'Δεδομένα Μήνα'!A31</f>
        <v>44497</v>
      </c>
      <c r="B34" s="105">
        <f>'Δεδομένα Μήνα'!Y31</f>
        <v>0</v>
      </c>
      <c r="C34" s="105">
        <f>'Δεδομένα Μήνα'!H31</f>
        <v>0</v>
      </c>
      <c r="D34" s="105">
        <f>'Δεδομένα Μήνα'!K31</f>
        <v>0</v>
      </c>
      <c r="E34" s="105">
        <f ca="1">'Δεδομένα Μήνα'!U31</f>
        <v>0</v>
      </c>
      <c r="F34" s="109">
        <f ca="1">'Δεδομένα Μήνα'!L31</f>
        <v>0</v>
      </c>
      <c r="G34" s="105">
        <f>'Δεδομένα Μήνα'!O31</f>
        <v>0</v>
      </c>
      <c r="H34" s="105">
        <f>'Δεδομένα Μήνα'!R31</f>
        <v>0</v>
      </c>
      <c r="I34" s="105">
        <f ca="1">'Δεδομένα Μήνα'!T31</f>
        <v>0</v>
      </c>
      <c r="J34" s="110">
        <f>'Δεδομένα Μήνα'!AJ31</f>
        <v>0</v>
      </c>
    </row>
    <row r="35" spans="1:15" x14ac:dyDescent="0.3">
      <c r="A35" s="108">
        <f>IF('Δεδομένα Μήνα'!A32="","",'Δεδομένα Μήνα'!A32)</f>
        <v>44498</v>
      </c>
      <c r="B35" s="105">
        <f>'Δεδομένα Μήνα'!Y32</f>
        <v>0</v>
      </c>
      <c r="C35" s="105">
        <f>'Δεδομένα Μήνα'!H32</f>
        <v>0</v>
      </c>
      <c r="D35" s="105">
        <f>'Δεδομένα Μήνα'!K32</f>
        <v>0</v>
      </c>
      <c r="E35" s="105">
        <f ca="1">'Δεδομένα Μήνα'!U32</f>
        <v>0</v>
      </c>
      <c r="F35" s="109">
        <f ca="1">'Δεδομένα Μήνα'!L32</f>
        <v>0</v>
      </c>
      <c r="G35" s="105">
        <f>'Δεδομένα Μήνα'!O32</f>
        <v>0</v>
      </c>
      <c r="H35" s="105">
        <f>'Δεδομένα Μήνα'!R32</f>
        <v>0</v>
      </c>
      <c r="I35" s="105">
        <f ca="1">'Δεδομένα Μήνα'!T32</f>
        <v>0</v>
      </c>
      <c r="J35" s="110">
        <f>'Δεδομένα Μήνα'!AJ32</f>
        <v>0</v>
      </c>
    </row>
    <row r="36" spans="1:15" x14ac:dyDescent="0.3">
      <c r="A36" s="108">
        <f>IF('Δεδομένα Μήνα'!A33="","",'Δεδομένα Μήνα'!A33)</f>
        <v>44499</v>
      </c>
      <c r="B36" s="105">
        <f>'Δεδομένα Μήνα'!Y33</f>
        <v>0</v>
      </c>
      <c r="C36" s="105">
        <f>'Δεδομένα Μήνα'!H33</f>
        <v>0</v>
      </c>
      <c r="D36" s="105">
        <f>'Δεδομένα Μήνα'!K33</f>
        <v>0</v>
      </c>
      <c r="E36" s="105">
        <f ca="1">'Δεδομένα Μήνα'!U33</f>
        <v>0</v>
      </c>
      <c r="F36" s="109">
        <f ca="1">'Δεδομένα Μήνα'!L33</f>
        <v>0</v>
      </c>
      <c r="G36" s="105">
        <f>'Δεδομένα Μήνα'!O33</f>
        <v>0</v>
      </c>
      <c r="H36" s="105">
        <f>'Δεδομένα Μήνα'!R33</f>
        <v>0</v>
      </c>
      <c r="I36" s="105">
        <f ca="1">'Δεδομένα Μήνα'!T33</f>
        <v>0</v>
      </c>
      <c r="J36" s="110">
        <f>'Δεδομένα Μήνα'!AJ33</f>
        <v>0</v>
      </c>
    </row>
    <row r="37" spans="1:15" ht="14.4" customHeight="1" thickBot="1" x14ac:dyDescent="0.35">
      <c r="A37" s="108">
        <f>IF('Δεδομένα Μήνα'!A34="","",'Δεδομένα Μήνα'!A34)</f>
        <v>44500</v>
      </c>
      <c r="B37" s="105">
        <f>'Δεδομένα Μήνα'!Y34</f>
        <v>0</v>
      </c>
      <c r="C37" s="105">
        <f>'Δεδομένα Μήνα'!H34</f>
        <v>0</v>
      </c>
      <c r="D37" s="105">
        <f>'Δεδομένα Μήνα'!K34</f>
        <v>0</v>
      </c>
      <c r="E37" s="105">
        <f ca="1">'Δεδομένα Μήνα'!U34</f>
        <v>0</v>
      </c>
      <c r="F37" s="109">
        <f ca="1">'Δεδομένα Μήνα'!L34</f>
        <v>0</v>
      </c>
      <c r="G37" s="105">
        <f>'Δεδομένα Μήνα'!O34</f>
        <v>0</v>
      </c>
      <c r="H37" s="105">
        <f>'Δεδομένα Μήνα'!R34</f>
        <v>0</v>
      </c>
      <c r="I37" s="105">
        <f ca="1">'Δεδομένα Μήνα'!T34</f>
        <v>0</v>
      </c>
      <c r="J37" s="110">
        <f>'Δεδομένα Μήνα'!AJ34</f>
        <v>0</v>
      </c>
    </row>
    <row r="38" spans="1:15" ht="15" customHeight="1" thickTop="1" thickBot="1" x14ac:dyDescent="0.35">
      <c r="A38" s="54" t="s">
        <v>100</v>
      </c>
      <c r="B38" s="111">
        <f t="shared" ref="B38:J38" si="0">SUM(B7:B37)</f>
        <v>0</v>
      </c>
      <c r="C38" s="112">
        <f t="shared" si="0"/>
        <v>0</v>
      </c>
      <c r="D38" s="112">
        <f t="shared" si="0"/>
        <v>0</v>
      </c>
      <c r="E38" s="112">
        <f t="shared" ca="1" si="0"/>
        <v>0</v>
      </c>
      <c r="F38" s="112">
        <f t="shared" ca="1" si="0"/>
        <v>0</v>
      </c>
      <c r="G38" s="112">
        <f t="shared" si="0"/>
        <v>0</v>
      </c>
      <c r="H38" s="112">
        <f t="shared" si="0"/>
        <v>0</v>
      </c>
      <c r="I38" s="112">
        <f t="shared" ca="1" si="0"/>
        <v>0</v>
      </c>
      <c r="J38" s="113">
        <f t="shared" si="0"/>
        <v>0</v>
      </c>
    </row>
    <row r="39" spans="1:15" ht="14.4" customHeight="1" thickTop="1" x14ac:dyDescent="0.3"/>
    <row r="40" spans="1:15" x14ac:dyDescent="0.3">
      <c r="A40" s="5" t="s">
        <v>101</v>
      </c>
      <c r="B40" s="4" t="s">
        <v>102</v>
      </c>
      <c r="C40" s="79"/>
      <c r="D40" s="79" t="s">
        <v>103</v>
      </c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</row>
    <row r="41" spans="1:15" x14ac:dyDescent="0.3">
      <c r="H41" s="44"/>
      <c r="I41" s="114"/>
    </row>
    <row r="42" spans="1:15" x14ac:dyDescent="0.3">
      <c r="J42" s="88"/>
    </row>
    <row r="43" spans="1:15" x14ac:dyDescent="0.3">
      <c r="G43" s="115"/>
      <c r="J43" s="88"/>
      <c r="K43" s="88"/>
    </row>
    <row r="44" spans="1:15" x14ac:dyDescent="0.3">
      <c r="J44" s="88"/>
    </row>
    <row r="45" spans="1:15" x14ac:dyDescent="0.3">
      <c r="J45" s="88"/>
    </row>
    <row r="46" spans="1:15" x14ac:dyDescent="0.3">
      <c r="J46" s="88"/>
    </row>
    <row r="47" spans="1:15" x14ac:dyDescent="0.3">
      <c r="J47" s="88"/>
    </row>
  </sheetData>
  <mergeCells count="3">
    <mergeCell ref="D1:G1"/>
    <mergeCell ref="D2:G2"/>
    <mergeCell ref="D3:G3"/>
  </mergeCells>
  <printOptions horizontalCentered="1"/>
  <pageMargins left="0.74803149606299213" right="0.74803149606299213" top="0.51181102362204722" bottom="0.51181102362204722" header="0.51181102362204722" footer="0.51181102362204722"/>
  <pageSetup paperSize="9" scale="9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O48"/>
  <sheetViews>
    <sheetView topLeftCell="A22" zoomScaleNormal="100" workbookViewId="0">
      <selection activeCell="B40" sqref="B40:C40"/>
    </sheetView>
  </sheetViews>
  <sheetFormatPr defaultColWidth="9.109375" defaultRowHeight="13.8" x14ac:dyDescent="0.3"/>
  <cols>
    <col min="1" max="1" width="10" style="130" customWidth="1"/>
    <col min="2" max="3" width="14.44140625" style="130" customWidth="1"/>
    <col min="4" max="11" width="11.6640625" style="130" customWidth="1"/>
    <col min="12" max="13" width="11.44140625" style="130" customWidth="1"/>
    <col min="14" max="14" width="18.44140625" style="130" bestFit="1" customWidth="1"/>
    <col min="15" max="18" width="9.109375" style="130" customWidth="1"/>
    <col min="19" max="16384" width="9.109375" style="130"/>
  </cols>
  <sheetData>
    <row r="1" spans="1:15" ht="14.4" customHeight="1" thickTop="1" x14ac:dyDescent="0.3">
      <c r="A1" s="8"/>
      <c r="B1" s="9"/>
      <c r="C1" s="77" t="s">
        <v>104</v>
      </c>
      <c r="D1" s="77"/>
      <c r="E1" s="77"/>
      <c r="F1" s="77"/>
      <c r="G1" s="78"/>
      <c r="H1" s="78"/>
      <c r="I1" s="10"/>
      <c r="J1" s="11"/>
      <c r="K1" s="10"/>
      <c r="L1" s="10"/>
      <c r="M1" s="10"/>
      <c r="N1" s="56"/>
    </row>
    <row r="2" spans="1:15" ht="14.4" customHeight="1" thickBot="1" x14ac:dyDescent="0.35">
      <c r="A2" s="12"/>
      <c r="B2" s="1"/>
      <c r="C2" s="78" t="s">
        <v>105</v>
      </c>
      <c r="D2" s="78"/>
      <c r="E2" s="78"/>
      <c r="F2" s="78"/>
      <c r="G2" s="78"/>
      <c r="H2" s="78"/>
      <c r="I2" s="116"/>
      <c r="J2" s="116"/>
      <c r="K2" s="116" t="s">
        <v>106</v>
      </c>
      <c r="L2" s="116" t="s">
        <v>107</v>
      </c>
      <c r="M2" s="116"/>
      <c r="N2" s="95">
        <v>2020</v>
      </c>
    </row>
    <row r="3" spans="1:15" ht="14.4" customHeight="1" thickBot="1" x14ac:dyDescent="0.35">
      <c r="A3" s="12"/>
      <c r="B3" s="1"/>
      <c r="C3" s="20" t="s">
        <v>108</v>
      </c>
      <c r="D3" s="1"/>
      <c r="E3" s="6"/>
      <c r="F3" s="1"/>
      <c r="G3" s="78"/>
      <c r="H3" s="78"/>
      <c r="I3" s="7"/>
      <c r="J3" s="7"/>
      <c r="K3" s="117"/>
      <c r="L3" s="117"/>
      <c r="M3" s="117"/>
      <c r="N3" s="118"/>
    </row>
    <row r="4" spans="1:15" ht="15" customHeight="1" thickTop="1" thickBot="1" x14ac:dyDescent="0.35">
      <c r="A4" s="14"/>
      <c r="B4" s="155" t="s">
        <v>109</v>
      </c>
      <c r="C4" s="156"/>
      <c r="D4" s="155" t="s">
        <v>110</v>
      </c>
      <c r="E4" s="151"/>
      <c r="F4" s="151"/>
      <c r="G4" s="151"/>
      <c r="H4" s="151"/>
      <c r="I4" s="156"/>
      <c r="J4" s="150" t="s">
        <v>111</v>
      </c>
      <c r="K4" s="151"/>
      <c r="L4" s="151"/>
      <c r="M4" s="151"/>
      <c r="N4" s="151"/>
    </row>
    <row r="5" spans="1:15" ht="14.4" customHeight="1" thickTop="1" x14ac:dyDescent="0.3">
      <c r="A5" s="152" t="s">
        <v>112</v>
      </c>
      <c r="B5" s="57" t="s">
        <v>113</v>
      </c>
      <c r="C5" s="58" t="s">
        <v>113</v>
      </c>
      <c r="D5" s="59" t="s">
        <v>83</v>
      </c>
      <c r="E5" s="60" t="s">
        <v>85</v>
      </c>
      <c r="F5" s="61" t="s">
        <v>86</v>
      </c>
      <c r="G5" s="62" t="s">
        <v>114</v>
      </c>
      <c r="H5" s="60" t="s">
        <v>88</v>
      </c>
      <c r="I5" s="58" t="s">
        <v>89</v>
      </c>
      <c r="J5" s="60" t="s">
        <v>84</v>
      </c>
      <c r="K5" s="60" t="s">
        <v>82</v>
      </c>
      <c r="L5" s="63" t="s">
        <v>115</v>
      </c>
      <c r="M5" s="63" t="s">
        <v>116</v>
      </c>
      <c r="N5" s="61" t="s">
        <v>117</v>
      </c>
    </row>
    <row r="6" spans="1:15" ht="14.4" customHeight="1" thickBot="1" x14ac:dyDescent="0.35">
      <c r="A6" s="153"/>
      <c r="B6" s="64" t="s">
        <v>118</v>
      </c>
      <c r="C6" s="65" t="s">
        <v>119</v>
      </c>
      <c r="D6" s="64" t="s">
        <v>92</v>
      </c>
      <c r="E6" s="66" t="s">
        <v>92</v>
      </c>
      <c r="F6" s="66" t="s">
        <v>92</v>
      </c>
      <c r="G6" s="67" t="s">
        <v>83</v>
      </c>
      <c r="H6" s="66" t="s">
        <v>92</v>
      </c>
      <c r="I6" s="65" t="s">
        <v>95</v>
      </c>
      <c r="J6" s="66" t="s">
        <v>92</v>
      </c>
      <c r="K6" s="66" t="s">
        <v>120</v>
      </c>
      <c r="L6" s="68" t="s">
        <v>121</v>
      </c>
      <c r="M6" s="66" t="s">
        <v>92</v>
      </c>
      <c r="N6" s="81" t="s">
        <v>122</v>
      </c>
    </row>
    <row r="7" spans="1:15" ht="14.4" customHeight="1" thickBot="1" x14ac:dyDescent="0.35">
      <c r="A7" s="154"/>
      <c r="B7" s="15" t="s">
        <v>123</v>
      </c>
      <c r="C7" s="17" t="s">
        <v>123</v>
      </c>
      <c r="D7" s="15" t="s">
        <v>97</v>
      </c>
      <c r="E7" s="16" t="s">
        <v>97</v>
      </c>
      <c r="F7" s="16" t="s">
        <v>97</v>
      </c>
      <c r="G7" s="18" t="s">
        <v>123</v>
      </c>
      <c r="H7" s="16" t="s">
        <v>97</v>
      </c>
      <c r="I7" s="17" t="s">
        <v>97</v>
      </c>
      <c r="J7" s="16" t="s">
        <v>97</v>
      </c>
      <c r="K7" s="16" t="s">
        <v>96</v>
      </c>
      <c r="L7" s="55" t="s">
        <v>124</v>
      </c>
      <c r="M7" s="16" t="s">
        <v>97</v>
      </c>
      <c r="N7" s="80" t="s">
        <v>97</v>
      </c>
    </row>
    <row r="8" spans="1:15" ht="14.4" customHeight="1" thickTop="1" x14ac:dyDescent="0.3">
      <c r="A8" s="119">
        <f>'Δεδομένα Μήνα'!A4</f>
        <v>44470</v>
      </c>
      <c r="B8" s="69">
        <f>'Δεδομένα Μήνα'!D4</f>
        <v>0</v>
      </c>
      <c r="C8" s="69">
        <f>'Δεδομένα Μήνα'!E4</f>
        <v>0</v>
      </c>
      <c r="D8" s="120">
        <f>'Δεδομένα Μήνα'!H4</f>
        <v>0</v>
      </c>
      <c r="E8" s="121">
        <f ca="1">'Δεδομένα Μήνα'!L4</f>
        <v>0</v>
      </c>
      <c r="F8" s="122">
        <f>'Δεδομένα Μήνα'!O4</f>
        <v>0</v>
      </c>
      <c r="G8" s="71">
        <f>'Δεδομένα Μήνα'!S4</f>
        <v>0</v>
      </c>
      <c r="H8" s="122">
        <f ca="1">'Δεδομένα Μήνα'!T4</f>
        <v>0</v>
      </c>
      <c r="I8" s="97">
        <f>'Δεδομένα Μήνα'!AJ4</f>
        <v>0</v>
      </c>
      <c r="J8" s="121">
        <f ca="1">'Δεδομένα Μήνα'!U4</f>
        <v>0</v>
      </c>
      <c r="K8" s="122">
        <f>'Δεδομένα Μήνα'!Y4</f>
        <v>0</v>
      </c>
      <c r="L8" s="123">
        <f>'Δεδομένα Μήνα'!Z4</f>
        <v>0</v>
      </c>
      <c r="M8" s="123">
        <f>'Δεδομένα Μήνα'!BH4/1000</f>
        <v>0</v>
      </c>
      <c r="N8" s="70">
        <f ca="1">M8+H8+J8</f>
        <v>0</v>
      </c>
      <c r="O8" s="124"/>
    </row>
    <row r="9" spans="1:15" x14ac:dyDescent="0.3">
      <c r="A9" s="125">
        <f>'Δεδομένα Μήνα'!A5</f>
        <v>44471</v>
      </c>
      <c r="B9" s="69">
        <f>'Δεδομένα Μήνα'!D5</f>
        <v>0</v>
      </c>
      <c r="C9" s="69">
        <f>'Δεδομένα Μήνα'!E5</f>
        <v>0</v>
      </c>
      <c r="D9" s="120">
        <f>'Δεδομένα Μήνα'!H5</f>
        <v>0</v>
      </c>
      <c r="E9" s="121">
        <f ca="1">'Δεδομένα Μήνα'!L5</f>
        <v>0</v>
      </c>
      <c r="F9" s="122">
        <f>'Δεδομένα Μήνα'!O5</f>
        <v>0</v>
      </c>
      <c r="G9" s="71">
        <f>'Δεδομένα Μήνα'!S5</f>
        <v>0</v>
      </c>
      <c r="H9" s="122">
        <f ca="1">'Δεδομένα Μήνα'!T5</f>
        <v>0</v>
      </c>
      <c r="I9" s="97">
        <f>'Δεδομένα Μήνα'!AJ5</f>
        <v>0</v>
      </c>
      <c r="J9" s="121">
        <f ca="1">'Δεδομένα Μήνα'!U5</f>
        <v>0</v>
      </c>
      <c r="K9" s="122">
        <f>'Δεδομένα Μήνα'!Y5</f>
        <v>0</v>
      </c>
      <c r="L9" s="123">
        <f>'Δεδομένα Μήνα'!Z5</f>
        <v>0</v>
      </c>
      <c r="M9" s="123">
        <f>'Δεδομένα Μήνα'!BH5/1000</f>
        <v>0</v>
      </c>
      <c r="N9" s="70">
        <f t="shared" ref="N9:N38" ca="1" si="0">M9+H9+J9</f>
        <v>0</v>
      </c>
    </row>
    <row r="10" spans="1:15" x14ac:dyDescent="0.3">
      <c r="A10" s="125">
        <f>'Δεδομένα Μήνα'!A6</f>
        <v>44472</v>
      </c>
      <c r="B10" s="69">
        <f>'Δεδομένα Μήνα'!D6</f>
        <v>0</v>
      </c>
      <c r="C10" s="69">
        <f>'Δεδομένα Μήνα'!E6</f>
        <v>0</v>
      </c>
      <c r="D10" s="120">
        <f>'Δεδομένα Μήνα'!H6</f>
        <v>0</v>
      </c>
      <c r="E10" s="121">
        <f ca="1">'Δεδομένα Μήνα'!L6</f>
        <v>0</v>
      </c>
      <c r="F10" s="122">
        <f>'Δεδομένα Μήνα'!O6</f>
        <v>0</v>
      </c>
      <c r="G10" s="71">
        <f>'Δεδομένα Μήνα'!S6</f>
        <v>0</v>
      </c>
      <c r="H10" s="122">
        <f ca="1">'Δεδομένα Μήνα'!T6</f>
        <v>0</v>
      </c>
      <c r="I10" s="97">
        <f>'Δεδομένα Μήνα'!AJ6</f>
        <v>0</v>
      </c>
      <c r="J10" s="121">
        <f ca="1">'Δεδομένα Μήνα'!U6</f>
        <v>0</v>
      </c>
      <c r="K10" s="122">
        <f>'Δεδομένα Μήνα'!Y6</f>
        <v>0</v>
      </c>
      <c r="L10" s="123">
        <f>'Δεδομένα Μήνα'!Z6</f>
        <v>0</v>
      </c>
      <c r="M10" s="123">
        <f>'Δεδομένα Μήνα'!BH6/1000</f>
        <v>0</v>
      </c>
      <c r="N10" s="70">
        <f t="shared" ca="1" si="0"/>
        <v>0</v>
      </c>
    </row>
    <row r="11" spans="1:15" x14ac:dyDescent="0.3">
      <c r="A11" s="125">
        <f>'Δεδομένα Μήνα'!A7</f>
        <v>44473</v>
      </c>
      <c r="B11" s="69">
        <f>'Δεδομένα Μήνα'!D7</f>
        <v>0</v>
      </c>
      <c r="C11" s="69">
        <f>'Δεδομένα Μήνα'!E7</f>
        <v>0</v>
      </c>
      <c r="D11" s="120">
        <f>'Δεδομένα Μήνα'!H7</f>
        <v>0</v>
      </c>
      <c r="E11" s="121">
        <f ca="1">'Δεδομένα Μήνα'!L7</f>
        <v>0</v>
      </c>
      <c r="F11" s="122">
        <f>'Δεδομένα Μήνα'!O7</f>
        <v>0</v>
      </c>
      <c r="G11" s="71" t="e">
        <f>'Δεδομένα Μήνα'!S7</f>
        <v>#DIV/0!</v>
      </c>
      <c r="H11" s="122">
        <f ca="1">'Δεδομένα Μήνα'!T7</f>
        <v>0</v>
      </c>
      <c r="I11" s="97">
        <f>'Δεδομένα Μήνα'!AJ7</f>
        <v>0</v>
      </c>
      <c r="J11" s="121">
        <f ca="1">'Δεδομένα Μήνα'!U7</f>
        <v>0</v>
      </c>
      <c r="K11" s="122">
        <f>'Δεδομένα Μήνα'!Y7</f>
        <v>0</v>
      </c>
      <c r="L11" s="123" t="e">
        <f>'Δεδομένα Μήνα'!Z7</f>
        <v>#DIV/0!</v>
      </c>
      <c r="M11" s="123">
        <f>'Δεδομένα Μήνα'!BH7/1000</f>
        <v>0</v>
      </c>
      <c r="N11" s="70">
        <f t="shared" ca="1" si="0"/>
        <v>0</v>
      </c>
    </row>
    <row r="12" spans="1:15" x14ac:dyDescent="0.3">
      <c r="A12" s="125">
        <f>'Δεδομένα Μήνα'!A8</f>
        <v>44474</v>
      </c>
      <c r="B12" s="69">
        <f>'Δεδομένα Μήνα'!D8</f>
        <v>0</v>
      </c>
      <c r="C12" s="69">
        <f>'Δεδομένα Μήνα'!E8</f>
        <v>0</v>
      </c>
      <c r="D12" s="120">
        <f>'Δεδομένα Μήνα'!H8</f>
        <v>0</v>
      </c>
      <c r="E12" s="121">
        <f ca="1">'Δεδομένα Μήνα'!L8</f>
        <v>0</v>
      </c>
      <c r="F12" s="122">
        <f>'Δεδομένα Μήνα'!O8</f>
        <v>0</v>
      </c>
      <c r="G12" s="71">
        <f>'Δεδομένα Μήνα'!S8</f>
        <v>0</v>
      </c>
      <c r="H12" s="122">
        <f ca="1">'Δεδομένα Μήνα'!T8</f>
        <v>0</v>
      </c>
      <c r="I12" s="97">
        <f>'Δεδομένα Μήνα'!AJ8</f>
        <v>0</v>
      </c>
      <c r="J12" s="121">
        <f ca="1">'Δεδομένα Μήνα'!U8</f>
        <v>0</v>
      </c>
      <c r="K12" s="122">
        <f>'Δεδομένα Μήνα'!Y8</f>
        <v>0</v>
      </c>
      <c r="L12" s="123">
        <f>'Δεδομένα Μήνα'!Z8</f>
        <v>0</v>
      </c>
      <c r="M12" s="123">
        <f>'Δεδομένα Μήνα'!BH8/1000</f>
        <v>0</v>
      </c>
      <c r="N12" s="70">
        <f t="shared" ca="1" si="0"/>
        <v>0</v>
      </c>
    </row>
    <row r="13" spans="1:15" x14ac:dyDescent="0.3">
      <c r="A13" s="125">
        <f>'Δεδομένα Μήνα'!A9</f>
        <v>44475</v>
      </c>
      <c r="B13" s="69">
        <f>'Δεδομένα Μήνα'!D9</f>
        <v>0</v>
      </c>
      <c r="C13" s="69">
        <f>'Δεδομένα Μήνα'!E9</f>
        <v>0</v>
      </c>
      <c r="D13" s="120">
        <f>'Δεδομένα Μήνα'!H9</f>
        <v>0</v>
      </c>
      <c r="E13" s="121">
        <f ca="1">'Δεδομένα Μήνα'!L9</f>
        <v>0</v>
      </c>
      <c r="F13" s="122">
        <f>'Δεδομένα Μήνα'!O9</f>
        <v>0</v>
      </c>
      <c r="G13" s="71" t="e">
        <f>'Δεδομένα Μήνα'!S9</f>
        <v>#DIV/0!</v>
      </c>
      <c r="H13" s="122">
        <f ca="1">'Δεδομένα Μήνα'!T9</f>
        <v>0</v>
      </c>
      <c r="I13" s="97">
        <f>'Δεδομένα Μήνα'!AJ9</f>
        <v>0</v>
      </c>
      <c r="J13" s="121">
        <f ca="1">'Δεδομένα Μήνα'!U9</f>
        <v>0</v>
      </c>
      <c r="K13" s="122">
        <f>'Δεδομένα Μήνα'!Y9</f>
        <v>0</v>
      </c>
      <c r="L13" s="123" t="e">
        <f>'Δεδομένα Μήνα'!Z9</f>
        <v>#DIV/0!</v>
      </c>
      <c r="M13" s="123">
        <f>'Δεδομένα Μήνα'!BH9/1000</f>
        <v>0</v>
      </c>
      <c r="N13" s="70">
        <f t="shared" ca="1" si="0"/>
        <v>0</v>
      </c>
    </row>
    <row r="14" spans="1:15" x14ac:dyDescent="0.3">
      <c r="A14" s="125">
        <f>'Δεδομένα Μήνα'!A10</f>
        <v>44476</v>
      </c>
      <c r="B14" s="69">
        <f>'Δεδομένα Μήνα'!D10</f>
        <v>0</v>
      </c>
      <c r="C14" s="69">
        <f>'Δεδομένα Μήνα'!E10</f>
        <v>0</v>
      </c>
      <c r="D14" s="120">
        <f>'Δεδομένα Μήνα'!H10</f>
        <v>0</v>
      </c>
      <c r="E14" s="121">
        <f ca="1">'Δεδομένα Μήνα'!L10</f>
        <v>0</v>
      </c>
      <c r="F14" s="122">
        <f>'Δεδομένα Μήνα'!O10</f>
        <v>0</v>
      </c>
      <c r="G14" s="71">
        <f>'Δεδομένα Μήνα'!S10</f>
        <v>0</v>
      </c>
      <c r="H14" s="122">
        <f ca="1">'Δεδομένα Μήνα'!T10</f>
        <v>0</v>
      </c>
      <c r="I14" s="97">
        <f>'Δεδομένα Μήνα'!AJ10</f>
        <v>0</v>
      </c>
      <c r="J14" s="121">
        <f ca="1">'Δεδομένα Μήνα'!U10</f>
        <v>0</v>
      </c>
      <c r="K14" s="122">
        <f>'Δεδομένα Μήνα'!Y10</f>
        <v>0</v>
      </c>
      <c r="L14" s="123">
        <f>'Δεδομένα Μήνα'!Z10</f>
        <v>0</v>
      </c>
      <c r="M14" s="123">
        <f>'Δεδομένα Μήνα'!BH10/1000</f>
        <v>0</v>
      </c>
      <c r="N14" s="70">
        <f t="shared" ca="1" si="0"/>
        <v>0</v>
      </c>
    </row>
    <row r="15" spans="1:15" x14ac:dyDescent="0.3">
      <c r="A15" s="125">
        <f>'Δεδομένα Μήνα'!A11</f>
        <v>44477</v>
      </c>
      <c r="B15" s="69">
        <f>'Δεδομένα Μήνα'!D11</f>
        <v>0</v>
      </c>
      <c r="C15" s="69">
        <f>'Δεδομένα Μήνα'!E11</f>
        <v>0</v>
      </c>
      <c r="D15" s="120">
        <f>'Δεδομένα Μήνα'!H11</f>
        <v>0</v>
      </c>
      <c r="E15" s="121">
        <f ca="1">'Δεδομένα Μήνα'!L11</f>
        <v>0</v>
      </c>
      <c r="F15" s="122">
        <f>'Δεδομένα Μήνα'!O11</f>
        <v>0</v>
      </c>
      <c r="G15" s="71">
        <f>'Δεδομένα Μήνα'!S11</f>
        <v>0</v>
      </c>
      <c r="H15" s="122">
        <f ca="1">'Δεδομένα Μήνα'!T11</f>
        <v>0</v>
      </c>
      <c r="I15" s="97">
        <f>'Δεδομένα Μήνα'!AJ11</f>
        <v>0</v>
      </c>
      <c r="J15" s="121">
        <f ca="1">'Δεδομένα Μήνα'!U11</f>
        <v>0</v>
      </c>
      <c r="K15" s="122">
        <f>'Δεδομένα Μήνα'!Y11</f>
        <v>0</v>
      </c>
      <c r="L15" s="123">
        <f>'Δεδομένα Μήνα'!Z11</f>
        <v>0</v>
      </c>
      <c r="M15" s="123">
        <f>'Δεδομένα Μήνα'!BH11/1000</f>
        <v>0</v>
      </c>
      <c r="N15" s="70">
        <f t="shared" ca="1" si="0"/>
        <v>0</v>
      </c>
    </row>
    <row r="16" spans="1:15" x14ac:dyDescent="0.3">
      <c r="A16" s="125">
        <f>'Δεδομένα Μήνα'!A12</f>
        <v>44478</v>
      </c>
      <c r="B16" s="69">
        <f>'Δεδομένα Μήνα'!D12</f>
        <v>0</v>
      </c>
      <c r="C16" s="69">
        <f>'Δεδομένα Μήνα'!E12</f>
        <v>0</v>
      </c>
      <c r="D16" s="120">
        <f>'Δεδομένα Μήνα'!H12</f>
        <v>0</v>
      </c>
      <c r="E16" s="121">
        <f ca="1">'Δεδομένα Μήνα'!L12</f>
        <v>0</v>
      </c>
      <c r="F16" s="122">
        <f>'Δεδομένα Μήνα'!O12</f>
        <v>0</v>
      </c>
      <c r="G16" s="71" t="e">
        <f>'Δεδομένα Μήνα'!S12</f>
        <v>#DIV/0!</v>
      </c>
      <c r="H16" s="122">
        <f ca="1">'Δεδομένα Μήνα'!T12</f>
        <v>0</v>
      </c>
      <c r="I16" s="97">
        <f>'Δεδομένα Μήνα'!AJ12</f>
        <v>0</v>
      </c>
      <c r="J16" s="121">
        <f ca="1">'Δεδομένα Μήνα'!U12</f>
        <v>0</v>
      </c>
      <c r="K16" s="122">
        <f>'Δεδομένα Μήνα'!Y12</f>
        <v>0</v>
      </c>
      <c r="L16" s="123" t="e">
        <f>'Δεδομένα Μήνα'!Z12</f>
        <v>#DIV/0!</v>
      </c>
      <c r="M16" s="123">
        <f>'Δεδομένα Μήνα'!BH12/1000</f>
        <v>0</v>
      </c>
      <c r="N16" s="70">
        <f t="shared" ca="1" si="0"/>
        <v>0</v>
      </c>
    </row>
    <row r="17" spans="1:14" x14ac:dyDescent="0.3">
      <c r="A17" s="125">
        <f>'Δεδομένα Μήνα'!A13</f>
        <v>44479</v>
      </c>
      <c r="B17" s="69">
        <f>'Δεδομένα Μήνα'!D13</f>
        <v>0</v>
      </c>
      <c r="C17" s="69">
        <f>'Δεδομένα Μήνα'!E13</f>
        <v>0</v>
      </c>
      <c r="D17" s="120">
        <f>'Δεδομένα Μήνα'!H13</f>
        <v>0</v>
      </c>
      <c r="E17" s="121">
        <f ca="1">'Δεδομένα Μήνα'!L13</f>
        <v>0</v>
      </c>
      <c r="F17" s="122">
        <f>'Δεδομένα Μήνα'!O13</f>
        <v>0</v>
      </c>
      <c r="G17" s="71">
        <f>'Δεδομένα Μήνα'!S13</f>
        <v>0</v>
      </c>
      <c r="H17" s="122">
        <f ca="1">'Δεδομένα Μήνα'!T13</f>
        <v>0</v>
      </c>
      <c r="I17" s="97">
        <f>'Δεδομένα Μήνα'!AJ13</f>
        <v>0</v>
      </c>
      <c r="J17" s="121">
        <f ca="1">'Δεδομένα Μήνα'!U13</f>
        <v>0</v>
      </c>
      <c r="K17" s="122">
        <f>'Δεδομένα Μήνα'!Y13</f>
        <v>0</v>
      </c>
      <c r="L17" s="123">
        <f>'Δεδομένα Μήνα'!Z13</f>
        <v>0</v>
      </c>
      <c r="M17" s="123">
        <f>'Δεδομένα Μήνα'!BH13/1000</f>
        <v>0</v>
      </c>
      <c r="N17" s="70">
        <f t="shared" ca="1" si="0"/>
        <v>0</v>
      </c>
    </row>
    <row r="18" spans="1:14" x14ac:dyDescent="0.3">
      <c r="A18" s="125">
        <f>'Δεδομένα Μήνα'!A14</f>
        <v>44480</v>
      </c>
      <c r="B18" s="69">
        <f>'Δεδομένα Μήνα'!D14</f>
        <v>0</v>
      </c>
      <c r="C18" s="69">
        <f>'Δεδομένα Μήνα'!E14</f>
        <v>0</v>
      </c>
      <c r="D18" s="120">
        <f>'Δεδομένα Μήνα'!H14</f>
        <v>0</v>
      </c>
      <c r="E18" s="121">
        <f ca="1">'Δεδομένα Μήνα'!L14</f>
        <v>0</v>
      </c>
      <c r="F18" s="122">
        <f>'Δεδομένα Μήνα'!O14</f>
        <v>0</v>
      </c>
      <c r="G18" s="71" t="e">
        <f>'Δεδομένα Μήνα'!S14</f>
        <v>#DIV/0!</v>
      </c>
      <c r="H18" s="122">
        <f ca="1">'Δεδομένα Μήνα'!T14</f>
        <v>0</v>
      </c>
      <c r="I18" s="97">
        <f>'Δεδομένα Μήνα'!AJ14</f>
        <v>0</v>
      </c>
      <c r="J18" s="121">
        <f ca="1">'Δεδομένα Μήνα'!U14</f>
        <v>0</v>
      </c>
      <c r="K18" s="122">
        <f>'Δεδομένα Μήνα'!Y14</f>
        <v>0</v>
      </c>
      <c r="L18" s="123" t="e">
        <f>'Δεδομένα Μήνα'!Z14</f>
        <v>#DIV/0!</v>
      </c>
      <c r="M18" s="123">
        <f>'Δεδομένα Μήνα'!BH14/1000</f>
        <v>0</v>
      </c>
      <c r="N18" s="70">
        <f t="shared" ca="1" si="0"/>
        <v>0</v>
      </c>
    </row>
    <row r="19" spans="1:14" x14ac:dyDescent="0.3">
      <c r="A19" s="125">
        <f>'Δεδομένα Μήνα'!A15</f>
        <v>44481</v>
      </c>
      <c r="B19" s="69">
        <f>'Δεδομένα Μήνα'!D15</f>
        <v>0</v>
      </c>
      <c r="C19" s="69">
        <f>'Δεδομένα Μήνα'!E15</f>
        <v>0</v>
      </c>
      <c r="D19" s="120">
        <f>'Δεδομένα Μήνα'!H15</f>
        <v>0</v>
      </c>
      <c r="E19" s="121">
        <f ca="1">'Δεδομένα Μήνα'!L15</f>
        <v>0</v>
      </c>
      <c r="F19" s="122">
        <f>'Δεδομένα Μήνα'!O15</f>
        <v>0</v>
      </c>
      <c r="G19" s="71" t="e">
        <f>'Δεδομένα Μήνα'!S15</f>
        <v>#DIV/0!</v>
      </c>
      <c r="H19" s="122">
        <f ca="1">'Δεδομένα Μήνα'!T15</f>
        <v>0</v>
      </c>
      <c r="I19" s="97">
        <f>'Δεδομένα Μήνα'!AJ15</f>
        <v>0</v>
      </c>
      <c r="J19" s="121">
        <f ca="1">'Δεδομένα Μήνα'!U15</f>
        <v>0</v>
      </c>
      <c r="K19" s="122">
        <f>'Δεδομένα Μήνα'!Y15</f>
        <v>0</v>
      </c>
      <c r="L19" s="123" t="e">
        <f>'Δεδομένα Μήνα'!Z15</f>
        <v>#DIV/0!</v>
      </c>
      <c r="M19" s="123">
        <f>'Δεδομένα Μήνα'!BH15/1000</f>
        <v>0</v>
      </c>
      <c r="N19" s="70">
        <f t="shared" ca="1" si="0"/>
        <v>0</v>
      </c>
    </row>
    <row r="20" spans="1:14" x14ac:dyDescent="0.3">
      <c r="A20" s="125">
        <f>'Δεδομένα Μήνα'!A16</f>
        <v>44482</v>
      </c>
      <c r="B20" s="69">
        <f>'Δεδομένα Μήνα'!D16</f>
        <v>0</v>
      </c>
      <c r="C20" s="69">
        <f>'Δεδομένα Μήνα'!E16</f>
        <v>0</v>
      </c>
      <c r="D20" s="120">
        <f>'Δεδομένα Μήνα'!H16</f>
        <v>0</v>
      </c>
      <c r="E20" s="121">
        <f ca="1">'Δεδομένα Μήνα'!L16</f>
        <v>0</v>
      </c>
      <c r="F20" s="122">
        <f>'Δεδομένα Μήνα'!O16</f>
        <v>0</v>
      </c>
      <c r="G20" s="71">
        <f>'Δεδομένα Μήνα'!S16</f>
        <v>0</v>
      </c>
      <c r="H20" s="122">
        <f ca="1">'Δεδομένα Μήνα'!T16</f>
        <v>0</v>
      </c>
      <c r="I20" s="97">
        <f>'Δεδομένα Μήνα'!AJ16</f>
        <v>0</v>
      </c>
      <c r="J20" s="121">
        <f ca="1">'Δεδομένα Μήνα'!U16</f>
        <v>0</v>
      </c>
      <c r="K20" s="122">
        <f>'Δεδομένα Μήνα'!Y16</f>
        <v>0</v>
      </c>
      <c r="L20" s="123">
        <f>'Δεδομένα Μήνα'!Z16</f>
        <v>0</v>
      </c>
      <c r="M20" s="123">
        <f>'Δεδομένα Μήνα'!BH16/1000</f>
        <v>0</v>
      </c>
      <c r="N20" s="70">
        <f t="shared" ca="1" si="0"/>
        <v>0</v>
      </c>
    </row>
    <row r="21" spans="1:14" x14ac:dyDescent="0.3">
      <c r="A21" s="125">
        <f>'Δεδομένα Μήνα'!A17</f>
        <v>44483</v>
      </c>
      <c r="B21" s="69">
        <f>'Δεδομένα Μήνα'!D17</f>
        <v>0</v>
      </c>
      <c r="C21" s="69">
        <f>'Δεδομένα Μήνα'!E17</f>
        <v>0</v>
      </c>
      <c r="D21" s="120">
        <f>'Δεδομένα Μήνα'!H17</f>
        <v>0</v>
      </c>
      <c r="E21" s="121">
        <f ca="1">'Δεδομένα Μήνα'!L17</f>
        <v>0</v>
      </c>
      <c r="F21" s="122">
        <f>'Δεδομένα Μήνα'!O17</f>
        <v>0</v>
      </c>
      <c r="G21" s="71">
        <f>'Δεδομένα Μήνα'!S17</f>
        <v>0</v>
      </c>
      <c r="H21" s="122">
        <f ca="1">'Δεδομένα Μήνα'!T17</f>
        <v>0</v>
      </c>
      <c r="I21" s="97">
        <f>'Δεδομένα Μήνα'!AJ17</f>
        <v>0</v>
      </c>
      <c r="J21" s="121">
        <f ca="1">'Δεδομένα Μήνα'!U17</f>
        <v>0</v>
      </c>
      <c r="K21" s="122">
        <f>'Δεδομένα Μήνα'!Y17</f>
        <v>0</v>
      </c>
      <c r="L21" s="123">
        <f>'Δεδομένα Μήνα'!Z17</f>
        <v>0</v>
      </c>
      <c r="M21" s="123">
        <f>'Δεδομένα Μήνα'!BH17/1000</f>
        <v>0</v>
      </c>
      <c r="N21" s="70">
        <f t="shared" ca="1" si="0"/>
        <v>0</v>
      </c>
    </row>
    <row r="22" spans="1:14" x14ac:dyDescent="0.3">
      <c r="A22" s="125">
        <f>'Δεδομένα Μήνα'!A18</f>
        <v>44484</v>
      </c>
      <c r="B22" s="69">
        <f>'Δεδομένα Μήνα'!D18</f>
        <v>0</v>
      </c>
      <c r="C22" s="69">
        <f>'Δεδομένα Μήνα'!E18</f>
        <v>0</v>
      </c>
      <c r="D22" s="120">
        <f>'Δεδομένα Μήνα'!H18</f>
        <v>0</v>
      </c>
      <c r="E22" s="121">
        <f ca="1">'Δεδομένα Μήνα'!L18</f>
        <v>0</v>
      </c>
      <c r="F22" s="122">
        <f>'Δεδομένα Μήνα'!O18</f>
        <v>0</v>
      </c>
      <c r="G22" s="71" t="e">
        <f>'Δεδομένα Μήνα'!S18</f>
        <v>#DIV/0!</v>
      </c>
      <c r="H22" s="122">
        <f ca="1">'Δεδομένα Μήνα'!T18</f>
        <v>0</v>
      </c>
      <c r="I22" s="97">
        <f>'Δεδομένα Μήνα'!AJ18</f>
        <v>0</v>
      </c>
      <c r="J22" s="121">
        <f ca="1">'Δεδομένα Μήνα'!U18</f>
        <v>0</v>
      </c>
      <c r="K22" s="122">
        <f>'Δεδομένα Μήνα'!Y18</f>
        <v>0</v>
      </c>
      <c r="L22" s="123" t="e">
        <f>'Δεδομένα Μήνα'!Z18</f>
        <v>#DIV/0!</v>
      </c>
      <c r="M22" s="123">
        <f>'Δεδομένα Μήνα'!BH18/1000</f>
        <v>0</v>
      </c>
      <c r="N22" s="70">
        <f t="shared" ca="1" si="0"/>
        <v>0</v>
      </c>
    </row>
    <row r="23" spans="1:14" x14ac:dyDescent="0.3">
      <c r="A23" s="125">
        <f>'Δεδομένα Μήνα'!A19</f>
        <v>44485</v>
      </c>
      <c r="B23" s="69">
        <f>'Δεδομένα Μήνα'!D19</f>
        <v>0</v>
      </c>
      <c r="C23" s="69">
        <f>'Δεδομένα Μήνα'!E19</f>
        <v>0</v>
      </c>
      <c r="D23" s="120">
        <f>'Δεδομένα Μήνα'!H19</f>
        <v>0</v>
      </c>
      <c r="E23" s="121">
        <f ca="1">'Δεδομένα Μήνα'!L19</f>
        <v>0</v>
      </c>
      <c r="F23" s="122">
        <f>'Δεδομένα Μήνα'!O19</f>
        <v>0</v>
      </c>
      <c r="G23" s="71" t="e">
        <f>'Δεδομένα Μήνα'!S19</f>
        <v>#DIV/0!</v>
      </c>
      <c r="H23" s="122">
        <f ca="1">'Δεδομένα Μήνα'!T19</f>
        <v>0</v>
      </c>
      <c r="I23" s="97">
        <f>'Δεδομένα Μήνα'!AJ19</f>
        <v>0</v>
      </c>
      <c r="J23" s="121">
        <f ca="1">'Δεδομένα Μήνα'!U19</f>
        <v>0</v>
      </c>
      <c r="K23" s="122">
        <f>'Δεδομένα Μήνα'!Y19</f>
        <v>0</v>
      </c>
      <c r="L23" s="123" t="e">
        <f>'Δεδομένα Μήνα'!Z19</f>
        <v>#DIV/0!</v>
      </c>
      <c r="M23" s="123">
        <f>'Δεδομένα Μήνα'!BH19/1000</f>
        <v>0</v>
      </c>
      <c r="N23" s="70">
        <f t="shared" ca="1" si="0"/>
        <v>0</v>
      </c>
    </row>
    <row r="24" spans="1:14" x14ac:dyDescent="0.3">
      <c r="A24" s="125">
        <f>'Δεδομένα Μήνα'!A20</f>
        <v>44486</v>
      </c>
      <c r="B24" s="69">
        <f>'Δεδομένα Μήνα'!D20</f>
        <v>0</v>
      </c>
      <c r="C24" s="69">
        <f>'Δεδομένα Μήνα'!E20</f>
        <v>0</v>
      </c>
      <c r="D24" s="120">
        <f>'Δεδομένα Μήνα'!H20</f>
        <v>0</v>
      </c>
      <c r="E24" s="121">
        <f ca="1">'Δεδομένα Μήνα'!L20</f>
        <v>0</v>
      </c>
      <c r="F24" s="122">
        <f>'Δεδομένα Μήνα'!O20</f>
        <v>0</v>
      </c>
      <c r="G24" s="71">
        <f>'Δεδομένα Μήνα'!S20</f>
        <v>0</v>
      </c>
      <c r="H24" s="122">
        <f ca="1">'Δεδομένα Μήνα'!T20</f>
        <v>0</v>
      </c>
      <c r="I24" s="97">
        <f>'Δεδομένα Μήνα'!AJ20</f>
        <v>0</v>
      </c>
      <c r="J24" s="121">
        <f ca="1">'Δεδομένα Μήνα'!U20</f>
        <v>0</v>
      </c>
      <c r="K24" s="122">
        <f>'Δεδομένα Μήνα'!Y20</f>
        <v>0</v>
      </c>
      <c r="L24" s="123">
        <f>'Δεδομένα Μήνα'!Z20</f>
        <v>0</v>
      </c>
      <c r="M24" s="123">
        <f>'Δεδομένα Μήνα'!BH20/1000</f>
        <v>0</v>
      </c>
      <c r="N24" s="70">
        <f t="shared" ca="1" si="0"/>
        <v>0</v>
      </c>
    </row>
    <row r="25" spans="1:14" x14ac:dyDescent="0.3">
      <c r="A25" s="125">
        <f>'Δεδομένα Μήνα'!A21</f>
        <v>44487</v>
      </c>
      <c r="B25" s="69">
        <f>'Δεδομένα Μήνα'!D21</f>
        <v>0</v>
      </c>
      <c r="C25" s="69">
        <f>'Δεδομένα Μήνα'!E21</f>
        <v>0</v>
      </c>
      <c r="D25" s="120">
        <f>'Δεδομένα Μήνα'!H21</f>
        <v>0</v>
      </c>
      <c r="E25" s="121">
        <f ca="1">'Δεδομένα Μήνα'!L21</f>
        <v>0</v>
      </c>
      <c r="F25" s="122">
        <f>'Δεδομένα Μήνα'!O21</f>
        <v>0</v>
      </c>
      <c r="G25" s="71" t="e">
        <f>'Δεδομένα Μήνα'!S21</f>
        <v>#DIV/0!</v>
      </c>
      <c r="H25" s="122">
        <f ca="1">'Δεδομένα Μήνα'!T21</f>
        <v>0</v>
      </c>
      <c r="I25" s="97">
        <f>'Δεδομένα Μήνα'!AJ21</f>
        <v>0</v>
      </c>
      <c r="J25" s="121">
        <f ca="1">'Δεδομένα Μήνα'!U21</f>
        <v>0</v>
      </c>
      <c r="K25" s="122">
        <f>'Δεδομένα Μήνα'!Y21</f>
        <v>0</v>
      </c>
      <c r="L25" s="123" t="e">
        <f>'Δεδομένα Μήνα'!Z21</f>
        <v>#DIV/0!</v>
      </c>
      <c r="M25" s="123">
        <f>'Δεδομένα Μήνα'!BH21/1000</f>
        <v>0</v>
      </c>
      <c r="N25" s="70">
        <f t="shared" ca="1" si="0"/>
        <v>0</v>
      </c>
    </row>
    <row r="26" spans="1:14" x14ac:dyDescent="0.3">
      <c r="A26" s="125">
        <f>'Δεδομένα Μήνα'!A22</f>
        <v>44488</v>
      </c>
      <c r="B26" s="69">
        <f>'Δεδομένα Μήνα'!D22</f>
        <v>0</v>
      </c>
      <c r="C26" s="69">
        <f>'Δεδομένα Μήνα'!E22</f>
        <v>0</v>
      </c>
      <c r="D26" s="120">
        <f>'Δεδομένα Μήνα'!H22</f>
        <v>0</v>
      </c>
      <c r="E26" s="121">
        <f ca="1">'Δεδομένα Μήνα'!L22</f>
        <v>0</v>
      </c>
      <c r="F26" s="122">
        <f>'Δεδομένα Μήνα'!O22</f>
        <v>0</v>
      </c>
      <c r="G26" s="71">
        <f>'Δεδομένα Μήνα'!S22</f>
        <v>0</v>
      </c>
      <c r="H26" s="122">
        <f ca="1">'Δεδομένα Μήνα'!T22</f>
        <v>0</v>
      </c>
      <c r="I26" s="97">
        <f>'Δεδομένα Μήνα'!AJ22</f>
        <v>0</v>
      </c>
      <c r="J26" s="121">
        <f ca="1">'Δεδομένα Μήνα'!U22</f>
        <v>0</v>
      </c>
      <c r="K26" s="122">
        <f>'Δεδομένα Μήνα'!Y22</f>
        <v>0</v>
      </c>
      <c r="L26" s="123">
        <f>'Δεδομένα Μήνα'!Z22</f>
        <v>0</v>
      </c>
      <c r="M26" s="123">
        <f>'Δεδομένα Μήνα'!BH22/1000</f>
        <v>0</v>
      </c>
      <c r="N26" s="70">
        <f t="shared" ca="1" si="0"/>
        <v>0</v>
      </c>
    </row>
    <row r="27" spans="1:14" x14ac:dyDescent="0.3">
      <c r="A27" s="125">
        <f>'Δεδομένα Μήνα'!A23</f>
        <v>44489</v>
      </c>
      <c r="B27" s="69">
        <f>'Δεδομένα Μήνα'!D23</f>
        <v>0</v>
      </c>
      <c r="C27" s="69">
        <f>'Δεδομένα Μήνα'!E23</f>
        <v>0</v>
      </c>
      <c r="D27" s="120">
        <f>'Δεδομένα Μήνα'!H23</f>
        <v>0</v>
      </c>
      <c r="E27" s="121">
        <f ca="1">'Δεδομένα Μήνα'!L23</f>
        <v>0</v>
      </c>
      <c r="F27" s="122">
        <f>'Δεδομένα Μήνα'!O23</f>
        <v>0</v>
      </c>
      <c r="G27" s="71">
        <f>'Δεδομένα Μήνα'!S23</f>
        <v>0</v>
      </c>
      <c r="H27" s="122">
        <f ca="1">'Δεδομένα Μήνα'!T23</f>
        <v>0</v>
      </c>
      <c r="I27" s="97">
        <f>'Δεδομένα Μήνα'!AJ23</f>
        <v>0</v>
      </c>
      <c r="J27" s="121">
        <f ca="1">'Δεδομένα Μήνα'!U23</f>
        <v>0</v>
      </c>
      <c r="K27" s="122">
        <f>'Δεδομένα Μήνα'!Y23</f>
        <v>0</v>
      </c>
      <c r="L27" s="123">
        <f>'Δεδομένα Μήνα'!Z23</f>
        <v>0</v>
      </c>
      <c r="M27" s="123">
        <f>'Δεδομένα Μήνα'!BH23/1000</f>
        <v>0</v>
      </c>
      <c r="N27" s="70">
        <f t="shared" ca="1" si="0"/>
        <v>0</v>
      </c>
    </row>
    <row r="28" spans="1:14" x14ac:dyDescent="0.3">
      <c r="A28" s="125">
        <f>'Δεδομένα Μήνα'!A24</f>
        <v>44490</v>
      </c>
      <c r="B28" s="69">
        <f>'Δεδομένα Μήνα'!D24</f>
        <v>0</v>
      </c>
      <c r="C28" s="69">
        <f>'Δεδομένα Μήνα'!E24</f>
        <v>0</v>
      </c>
      <c r="D28" s="120">
        <f>'Δεδομένα Μήνα'!H24</f>
        <v>0</v>
      </c>
      <c r="E28" s="121">
        <f ca="1">'Δεδομένα Μήνα'!L24</f>
        <v>0</v>
      </c>
      <c r="F28" s="122">
        <f>'Δεδομένα Μήνα'!O24</f>
        <v>0</v>
      </c>
      <c r="G28" s="71">
        <f>'Δεδομένα Μήνα'!S24</f>
        <v>0</v>
      </c>
      <c r="H28" s="122">
        <f ca="1">'Δεδομένα Μήνα'!T24</f>
        <v>0</v>
      </c>
      <c r="I28" s="97">
        <f>'Δεδομένα Μήνα'!AJ24</f>
        <v>0</v>
      </c>
      <c r="J28" s="121">
        <f ca="1">'Δεδομένα Μήνα'!U24</f>
        <v>0</v>
      </c>
      <c r="K28" s="122">
        <f>'Δεδομένα Μήνα'!Y24</f>
        <v>0</v>
      </c>
      <c r="L28" s="123">
        <f>'Δεδομένα Μήνα'!Z24</f>
        <v>0</v>
      </c>
      <c r="M28" s="123">
        <f>'Δεδομένα Μήνα'!BH24/1000</f>
        <v>0</v>
      </c>
      <c r="N28" s="70">
        <f t="shared" ca="1" si="0"/>
        <v>0</v>
      </c>
    </row>
    <row r="29" spans="1:14" x14ac:dyDescent="0.3">
      <c r="A29" s="125">
        <f>'Δεδομένα Μήνα'!A25</f>
        <v>44491</v>
      </c>
      <c r="B29" s="69">
        <f>'Δεδομένα Μήνα'!D25</f>
        <v>0</v>
      </c>
      <c r="C29" s="69">
        <f>'Δεδομένα Μήνα'!E25</f>
        <v>0</v>
      </c>
      <c r="D29" s="120">
        <f>'Δεδομένα Μήνα'!H25</f>
        <v>0</v>
      </c>
      <c r="E29" s="121">
        <f ca="1">'Δεδομένα Μήνα'!L25</f>
        <v>0</v>
      </c>
      <c r="F29" s="122">
        <f>'Δεδομένα Μήνα'!O25</f>
        <v>0</v>
      </c>
      <c r="G29" s="71" t="e">
        <f>'Δεδομένα Μήνα'!S25</f>
        <v>#DIV/0!</v>
      </c>
      <c r="H29" s="122">
        <f ca="1">'Δεδομένα Μήνα'!T25</f>
        <v>0</v>
      </c>
      <c r="I29" s="97">
        <f>'Δεδομένα Μήνα'!AJ25</f>
        <v>0</v>
      </c>
      <c r="J29" s="121">
        <f ca="1">'Δεδομένα Μήνα'!U25</f>
        <v>0</v>
      </c>
      <c r="K29" s="122">
        <f>'Δεδομένα Μήνα'!Y25</f>
        <v>0</v>
      </c>
      <c r="L29" s="123" t="e">
        <f>'Δεδομένα Μήνα'!Z25</f>
        <v>#DIV/0!</v>
      </c>
      <c r="M29" s="123">
        <f>'Δεδομένα Μήνα'!BH25/1000</f>
        <v>0</v>
      </c>
      <c r="N29" s="70">
        <f t="shared" ca="1" si="0"/>
        <v>0</v>
      </c>
    </row>
    <row r="30" spans="1:14" x14ac:dyDescent="0.3">
      <c r="A30" s="125">
        <f>'Δεδομένα Μήνα'!A26</f>
        <v>44492</v>
      </c>
      <c r="B30" s="69">
        <f>'Δεδομένα Μήνα'!D26</f>
        <v>0</v>
      </c>
      <c r="C30" s="69">
        <f>'Δεδομένα Μήνα'!E26</f>
        <v>0</v>
      </c>
      <c r="D30" s="120">
        <f>'Δεδομένα Μήνα'!H26</f>
        <v>0</v>
      </c>
      <c r="E30" s="121">
        <f ca="1">'Δεδομένα Μήνα'!L26</f>
        <v>0</v>
      </c>
      <c r="F30" s="122">
        <f>'Δεδομένα Μήνα'!O26</f>
        <v>0</v>
      </c>
      <c r="G30" s="71">
        <f>'Δεδομένα Μήνα'!S26</f>
        <v>0</v>
      </c>
      <c r="H30" s="122">
        <f ca="1">'Δεδομένα Μήνα'!T26</f>
        <v>0</v>
      </c>
      <c r="I30" s="97">
        <f>'Δεδομένα Μήνα'!AJ26</f>
        <v>0</v>
      </c>
      <c r="J30" s="121">
        <f ca="1">'Δεδομένα Μήνα'!U26</f>
        <v>0</v>
      </c>
      <c r="K30" s="122">
        <f>'Δεδομένα Μήνα'!Y26</f>
        <v>0</v>
      </c>
      <c r="L30" s="123">
        <f>'Δεδομένα Μήνα'!Z26</f>
        <v>0</v>
      </c>
      <c r="M30" s="123">
        <f>'Δεδομένα Μήνα'!BH26/1000</f>
        <v>0</v>
      </c>
      <c r="N30" s="70">
        <f t="shared" ca="1" si="0"/>
        <v>0</v>
      </c>
    </row>
    <row r="31" spans="1:14" x14ac:dyDescent="0.3">
      <c r="A31" s="125">
        <f>'Δεδομένα Μήνα'!A27</f>
        <v>44493</v>
      </c>
      <c r="B31" s="69">
        <f>'Δεδομένα Μήνα'!D27</f>
        <v>0</v>
      </c>
      <c r="C31" s="69">
        <f>'Δεδομένα Μήνα'!E27</f>
        <v>0</v>
      </c>
      <c r="D31" s="120">
        <f>'Δεδομένα Μήνα'!H27</f>
        <v>0</v>
      </c>
      <c r="E31" s="121">
        <f ca="1">'Δεδομένα Μήνα'!L27</f>
        <v>0</v>
      </c>
      <c r="F31" s="122">
        <f>'Δεδομένα Μήνα'!O27</f>
        <v>0</v>
      </c>
      <c r="G31" s="71">
        <f>'Δεδομένα Μήνα'!S27</f>
        <v>0</v>
      </c>
      <c r="H31" s="122">
        <f ca="1">'Δεδομένα Μήνα'!T27</f>
        <v>0</v>
      </c>
      <c r="I31" s="97">
        <f>'Δεδομένα Μήνα'!AJ27</f>
        <v>0</v>
      </c>
      <c r="J31" s="121">
        <f ca="1">'Δεδομένα Μήνα'!U27</f>
        <v>0</v>
      </c>
      <c r="K31" s="122">
        <f>'Δεδομένα Μήνα'!Y27</f>
        <v>0</v>
      </c>
      <c r="L31" s="123">
        <f>'Δεδομένα Μήνα'!Z27</f>
        <v>0</v>
      </c>
      <c r="M31" s="123">
        <f>'Δεδομένα Μήνα'!BH27/1000</f>
        <v>0</v>
      </c>
      <c r="N31" s="70">
        <f t="shared" ca="1" si="0"/>
        <v>0</v>
      </c>
    </row>
    <row r="32" spans="1:14" x14ac:dyDescent="0.3">
      <c r="A32" s="125">
        <f>'Δεδομένα Μήνα'!A28</f>
        <v>44494</v>
      </c>
      <c r="B32" s="69">
        <f>'Δεδομένα Μήνα'!D28</f>
        <v>0</v>
      </c>
      <c r="C32" s="69">
        <f>'Δεδομένα Μήνα'!E28</f>
        <v>0</v>
      </c>
      <c r="D32" s="120">
        <f>'Δεδομένα Μήνα'!H28</f>
        <v>0</v>
      </c>
      <c r="E32" s="121">
        <f ca="1">'Δεδομένα Μήνα'!L28</f>
        <v>0</v>
      </c>
      <c r="F32" s="122">
        <f>'Δεδομένα Μήνα'!O28</f>
        <v>0</v>
      </c>
      <c r="G32" s="71">
        <f>'Δεδομένα Μήνα'!S28</f>
        <v>0</v>
      </c>
      <c r="H32" s="122">
        <f ca="1">'Δεδομένα Μήνα'!T28</f>
        <v>0</v>
      </c>
      <c r="I32" s="97">
        <f>'Δεδομένα Μήνα'!AJ28</f>
        <v>0</v>
      </c>
      <c r="J32" s="121">
        <f ca="1">'Δεδομένα Μήνα'!U28</f>
        <v>0</v>
      </c>
      <c r="K32" s="122">
        <f>'Δεδομένα Μήνα'!Y28</f>
        <v>0</v>
      </c>
      <c r="L32" s="123">
        <f>'Δεδομένα Μήνα'!Z28</f>
        <v>0</v>
      </c>
      <c r="M32" s="123">
        <f>'Δεδομένα Μήνα'!BH28/1000</f>
        <v>0</v>
      </c>
      <c r="N32" s="70">
        <f t="shared" ca="1" si="0"/>
        <v>0</v>
      </c>
    </row>
    <row r="33" spans="1:14" x14ac:dyDescent="0.3">
      <c r="A33" s="125">
        <f>'Δεδομένα Μήνα'!A29</f>
        <v>44495</v>
      </c>
      <c r="B33" s="69">
        <f>'Δεδομένα Μήνα'!D29</f>
        <v>0</v>
      </c>
      <c r="C33" s="69">
        <f>'Δεδομένα Μήνα'!E29</f>
        <v>0</v>
      </c>
      <c r="D33" s="120">
        <f>'Δεδομένα Μήνα'!H29</f>
        <v>0</v>
      </c>
      <c r="E33" s="121">
        <f ca="1">'Δεδομένα Μήνα'!L29</f>
        <v>0</v>
      </c>
      <c r="F33" s="122">
        <f>'Δεδομένα Μήνα'!O29</f>
        <v>0</v>
      </c>
      <c r="G33" s="71" t="e">
        <f>'Δεδομένα Μήνα'!S29</f>
        <v>#DIV/0!</v>
      </c>
      <c r="H33" s="122">
        <f ca="1">'Δεδομένα Μήνα'!T29</f>
        <v>0</v>
      </c>
      <c r="I33" s="97">
        <f>'Δεδομένα Μήνα'!AJ29</f>
        <v>0</v>
      </c>
      <c r="J33" s="121">
        <f ca="1">'Δεδομένα Μήνα'!U29</f>
        <v>0</v>
      </c>
      <c r="K33" s="122">
        <f>'Δεδομένα Μήνα'!Y29</f>
        <v>0</v>
      </c>
      <c r="L33" s="123" t="e">
        <f>'Δεδομένα Μήνα'!Z29</f>
        <v>#DIV/0!</v>
      </c>
      <c r="M33" s="123">
        <f>'Δεδομένα Μήνα'!BH29/1000</f>
        <v>0</v>
      </c>
      <c r="N33" s="70">
        <f t="shared" ca="1" si="0"/>
        <v>0</v>
      </c>
    </row>
    <row r="34" spans="1:14" x14ac:dyDescent="0.3">
      <c r="A34" s="125">
        <f>'Δεδομένα Μήνα'!A30</f>
        <v>44496</v>
      </c>
      <c r="B34" s="69">
        <f>'Δεδομένα Μήνα'!D30</f>
        <v>0</v>
      </c>
      <c r="C34" s="69">
        <f>'Δεδομένα Μήνα'!E30</f>
        <v>0</v>
      </c>
      <c r="D34" s="120">
        <f>'Δεδομένα Μήνα'!H30</f>
        <v>0</v>
      </c>
      <c r="E34" s="121">
        <f ca="1">'Δεδομένα Μήνα'!L30</f>
        <v>0</v>
      </c>
      <c r="F34" s="122">
        <f>'Δεδομένα Μήνα'!O30</f>
        <v>0</v>
      </c>
      <c r="G34" s="71">
        <f>'Δεδομένα Μήνα'!S30</f>
        <v>0</v>
      </c>
      <c r="H34" s="122">
        <f ca="1">'Δεδομένα Μήνα'!T30</f>
        <v>0</v>
      </c>
      <c r="I34" s="97">
        <f>'Δεδομένα Μήνα'!AJ30</f>
        <v>0</v>
      </c>
      <c r="J34" s="121">
        <f ca="1">'Δεδομένα Μήνα'!U30</f>
        <v>0</v>
      </c>
      <c r="K34" s="122">
        <f>'Δεδομένα Μήνα'!Y30</f>
        <v>0</v>
      </c>
      <c r="L34" s="123">
        <f>'Δεδομένα Μήνα'!Z30</f>
        <v>0</v>
      </c>
      <c r="M34" s="123">
        <f>'Δεδομένα Μήνα'!BH30/1000</f>
        <v>0</v>
      </c>
      <c r="N34" s="70">
        <f t="shared" ca="1" si="0"/>
        <v>0</v>
      </c>
    </row>
    <row r="35" spans="1:14" x14ac:dyDescent="0.3">
      <c r="A35" s="125">
        <f>'Δεδομένα Μήνα'!A31</f>
        <v>44497</v>
      </c>
      <c r="B35" s="69">
        <f>'Δεδομένα Μήνα'!D31</f>
        <v>0</v>
      </c>
      <c r="C35" s="69">
        <f>'Δεδομένα Μήνα'!E31</f>
        <v>0</v>
      </c>
      <c r="D35" s="120">
        <f>'Δεδομένα Μήνα'!H31</f>
        <v>0</v>
      </c>
      <c r="E35" s="121">
        <f ca="1">'Δεδομένα Μήνα'!L31</f>
        <v>0</v>
      </c>
      <c r="F35" s="122">
        <f>'Δεδομένα Μήνα'!O31</f>
        <v>0</v>
      </c>
      <c r="G35" s="71">
        <f>'Δεδομένα Μήνα'!S31</f>
        <v>0</v>
      </c>
      <c r="H35" s="122">
        <f ca="1">'Δεδομένα Μήνα'!T31</f>
        <v>0</v>
      </c>
      <c r="I35" s="97">
        <f>'Δεδομένα Μήνα'!AJ31</f>
        <v>0</v>
      </c>
      <c r="J35" s="121">
        <f ca="1">'Δεδομένα Μήνα'!U31</f>
        <v>0</v>
      </c>
      <c r="K35" s="122">
        <f>'Δεδομένα Μήνα'!Y31</f>
        <v>0</v>
      </c>
      <c r="L35" s="123">
        <f>'Δεδομένα Μήνα'!Z31</f>
        <v>0</v>
      </c>
      <c r="M35" s="123">
        <f>'Δεδομένα Μήνα'!BH31/1000</f>
        <v>0</v>
      </c>
      <c r="N35" s="70">
        <f t="shared" ca="1" si="0"/>
        <v>0</v>
      </c>
    </row>
    <row r="36" spans="1:14" x14ac:dyDescent="0.3">
      <c r="A36" s="125">
        <f>'Δεδομένα Μήνα'!A32</f>
        <v>44498</v>
      </c>
      <c r="B36" s="69">
        <f>'Δεδομένα Μήνα'!D32</f>
        <v>0</v>
      </c>
      <c r="C36" s="69">
        <f>'Δεδομένα Μήνα'!E32</f>
        <v>0</v>
      </c>
      <c r="D36" s="120">
        <f>'Δεδομένα Μήνα'!H32</f>
        <v>0</v>
      </c>
      <c r="E36" s="121">
        <f ca="1">'Δεδομένα Μήνα'!L32</f>
        <v>0</v>
      </c>
      <c r="F36" s="122">
        <f>'Δεδομένα Μήνα'!O32</f>
        <v>0</v>
      </c>
      <c r="G36" s="71">
        <f>'Δεδομένα Μήνα'!S32</f>
        <v>0</v>
      </c>
      <c r="H36" s="122">
        <f ca="1">'Δεδομένα Μήνα'!T32</f>
        <v>0</v>
      </c>
      <c r="I36" s="97">
        <f>'Δεδομένα Μήνα'!AJ32</f>
        <v>0</v>
      </c>
      <c r="J36" s="121">
        <f ca="1">'Δεδομένα Μήνα'!U32</f>
        <v>0</v>
      </c>
      <c r="K36" s="122">
        <f>'Δεδομένα Μήνα'!Y32</f>
        <v>0</v>
      </c>
      <c r="L36" s="123">
        <f>'Δεδομένα Μήνα'!Z32</f>
        <v>0</v>
      </c>
      <c r="M36" s="123">
        <f>'Δεδομένα Μήνα'!BH32/1000</f>
        <v>0</v>
      </c>
      <c r="N36" s="70">
        <f t="shared" ca="1" si="0"/>
        <v>0</v>
      </c>
    </row>
    <row r="37" spans="1:14" x14ac:dyDescent="0.3">
      <c r="A37" s="125">
        <f>'Δεδομένα Μήνα'!A33</f>
        <v>44499</v>
      </c>
      <c r="B37" s="69">
        <f>'Δεδομένα Μήνα'!D33</f>
        <v>0</v>
      </c>
      <c r="C37" s="69">
        <f>'Δεδομένα Μήνα'!E33</f>
        <v>0</v>
      </c>
      <c r="D37" s="120">
        <f>'Δεδομένα Μήνα'!H33</f>
        <v>0</v>
      </c>
      <c r="E37" s="121">
        <f ca="1">'Δεδομένα Μήνα'!L33</f>
        <v>0</v>
      </c>
      <c r="F37" s="122">
        <f>'Δεδομένα Μήνα'!O33</f>
        <v>0</v>
      </c>
      <c r="G37" s="71" t="e">
        <f>'Δεδομένα Μήνα'!S33</f>
        <v>#DIV/0!</v>
      </c>
      <c r="H37" s="122">
        <f ca="1">'Δεδομένα Μήνα'!T33</f>
        <v>0</v>
      </c>
      <c r="I37" s="97">
        <f>'Δεδομένα Μήνα'!AJ33</f>
        <v>0</v>
      </c>
      <c r="J37" s="121">
        <f ca="1">'Δεδομένα Μήνα'!U33</f>
        <v>0</v>
      </c>
      <c r="K37" s="122">
        <f>'Δεδομένα Μήνα'!Y33</f>
        <v>0</v>
      </c>
      <c r="L37" s="123" t="e">
        <f>'Δεδομένα Μήνα'!Z33</f>
        <v>#DIV/0!</v>
      </c>
      <c r="M37" s="123">
        <f>'Δεδομένα Μήνα'!BH33/1000</f>
        <v>0</v>
      </c>
      <c r="N37" s="70">
        <f t="shared" ca="1" si="0"/>
        <v>0</v>
      </c>
    </row>
    <row r="38" spans="1:14" ht="14.4" customHeight="1" thickBot="1" x14ac:dyDescent="0.35">
      <c r="A38" s="125">
        <f>'Δεδομένα Μήνα'!A34</f>
        <v>44500</v>
      </c>
      <c r="B38" s="69">
        <f>'Δεδομένα Μήνα'!D34</f>
        <v>0</v>
      </c>
      <c r="C38" s="69">
        <f>'Δεδομένα Μήνα'!E34</f>
        <v>0</v>
      </c>
      <c r="D38" s="120">
        <f>'Δεδομένα Μήνα'!H34</f>
        <v>0</v>
      </c>
      <c r="E38" s="121">
        <f ca="1">'Δεδομένα Μήνα'!L34</f>
        <v>0</v>
      </c>
      <c r="F38" s="122">
        <f>'Δεδομένα Μήνα'!O34</f>
        <v>0</v>
      </c>
      <c r="G38" s="71">
        <f>'Δεδομένα Μήνα'!S34</f>
        <v>0</v>
      </c>
      <c r="H38" s="122">
        <f ca="1">'Δεδομένα Μήνα'!T34</f>
        <v>0</v>
      </c>
      <c r="I38" s="97">
        <f>'Δεδομένα Μήνα'!AJ34</f>
        <v>0</v>
      </c>
      <c r="J38" s="121">
        <f ca="1">'Δεδομένα Μήνα'!U34</f>
        <v>0</v>
      </c>
      <c r="K38" s="122">
        <f>'Δεδομένα Μήνα'!Y34</f>
        <v>0</v>
      </c>
      <c r="L38" s="123">
        <f>'Δεδομένα Μήνα'!Z34</f>
        <v>0</v>
      </c>
      <c r="M38" s="123">
        <f>'Δεδομένα Μήνα'!BH34/1000</f>
        <v>0</v>
      </c>
      <c r="N38" s="70">
        <f t="shared" ca="1" si="0"/>
        <v>0</v>
      </c>
    </row>
    <row r="39" spans="1:14" ht="14.4" customHeight="1" thickTop="1" x14ac:dyDescent="0.3">
      <c r="A39" s="19" t="s">
        <v>125</v>
      </c>
      <c r="B39" s="126">
        <f t="shared" ref="B39:C39" si="1">SUM(B8:B38)</f>
        <v>0</v>
      </c>
      <c r="C39" s="126">
        <f t="shared" si="1"/>
        <v>0</v>
      </c>
      <c r="D39" s="126">
        <f>SUM(D8:D38)</f>
        <v>0</v>
      </c>
      <c r="E39" s="127">
        <f ca="1">SUM(E8:E38)</f>
        <v>0</v>
      </c>
      <c r="F39" s="127">
        <f>SUM(F8:F38)</f>
        <v>0</v>
      </c>
      <c r="G39" s="127" t="e">
        <f t="shared" ref="G39:H39" si="2">SUM(G8:G38)</f>
        <v>#DIV/0!</v>
      </c>
      <c r="H39" s="127">
        <f t="shared" ca="1" si="2"/>
        <v>0</v>
      </c>
      <c r="I39" s="72">
        <f>SUM(I8:I38)</f>
        <v>0</v>
      </c>
      <c r="J39" s="127">
        <f ca="1">SUM(J8:J38)</f>
        <v>0</v>
      </c>
      <c r="K39" s="127">
        <f>SUM(K8:K38)</f>
        <v>0</v>
      </c>
      <c r="L39" s="127" t="e">
        <f t="shared" ref="L39:N39" si="3">SUM(L8:L38)</f>
        <v>#DIV/0!</v>
      </c>
      <c r="M39" s="127">
        <f t="shared" si="3"/>
        <v>0</v>
      </c>
      <c r="N39" s="127">
        <f t="shared" ca="1" si="3"/>
        <v>0</v>
      </c>
    </row>
    <row r="40" spans="1:14" ht="14.4" customHeight="1" thickBot="1" x14ac:dyDescent="0.35">
      <c r="A40" s="13" t="s">
        <v>126</v>
      </c>
      <c r="B40" s="73">
        <f>'Δεδομένα Μήνα'!D36</f>
        <v>0</v>
      </c>
      <c r="C40" s="73">
        <f>'Δεδομένα Μήνα'!E36</f>
        <v>0</v>
      </c>
      <c r="D40" s="128">
        <f>AVERAGE(D8:D38)</f>
        <v>0</v>
      </c>
      <c r="E40" s="129">
        <f ca="1">AVERAGE(E8:E38)</f>
        <v>0</v>
      </c>
      <c r="F40" s="129">
        <f>AVERAGE(F8:F38)</f>
        <v>0</v>
      </c>
      <c r="G40" s="75" t="e">
        <f>'Δεδομένα Μήνα'!S35</f>
        <v>#DIV/0!</v>
      </c>
      <c r="H40" s="129">
        <f ca="1">AVERAGE(H8:H38)</f>
        <v>0</v>
      </c>
      <c r="I40" s="76">
        <f>AVERAGE(I8:I38)</f>
        <v>0</v>
      </c>
      <c r="J40" s="129">
        <f ca="1">AVERAGE(J8:J38)</f>
        <v>0</v>
      </c>
      <c r="K40" s="129">
        <f>AVERAGE(K8:K38)</f>
        <v>0</v>
      </c>
      <c r="L40" s="129" t="e">
        <f>'Δεδομένα Μήνα'!Z35</f>
        <v>#DIV/0!</v>
      </c>
      <c r="M40" s="129">
        <f>AVERAGE(M8:M38)</f>
        <v>0</v>
      </c>
      <c r="N40" s="74">
        <f ca="1">AVERAGE(N8:N38)</f>
        <v>0</v>
      </c>
    </row>
    <row r="41" spans="1:14" ht="14.4" customHeight="1" thickTop="1" x14ac:dyDescent="0.3">
      <c r="J41" s="79"/>
      <c r="K41" s="79"/>
      <c r="L41" s="79"/>
      <c r="M41" s="79"/>
      <c r="N41" s="79"/>
    </row>
    <row r="42" spans="1:14" x14ac:dyDescent="0.3">
      <c r="J42" s="79"/>
      <c r="K42" s="79"/>
      <c r="L42" s="79"/>
      <c r="M42" s="79"/>
      <c r="N42" s="79"/>
    </row>
    <row r="43" spans="1:14" x14ac:dyDescent="0.3">
      <c r="A43" s="2" t="s">
        <v>127</v>
      </c>
      <c r="B43" s="7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</row>
    <row r="44" spans="1:14" x14ac:dyDescent="0.3">
      <c r="A44" s="3" t="s">
        <v>128</v>
      </c>
      <c r="B44" s="4" t="s">
        <v>129</v>
      </c>
      <c r="D44" s="79" t="s">
        <v>130</v>
      </c>
      <c r="E44" s="79"/>
      <c r="F44" s="79"/>
      <c r="G44" s="5"/>
      <c r="H44" s="79"/>
      <c r="I44" s="5"/>
      <c r="J44" s="79"/>
      <c r="K44" s="79"/>
      <c r="L44" s="79"/>
      <c r="M44" s="79"/>
      <c r="N44" s="79"/>
    </row>
    <row r="45" spans="1:14" x14ac:dyDescent="0.3">
      <c r="A45" s="3" t="s">
        <v>131</v>
      </c>
      <c r="B45" s="4" t="s">
        <v>132</v>
      </c>
      <c r="D45" s="79" t="s">
        <v>133</v>
      </c>
      <c r="E45" s="79"/>
      <c r="F45" s="79"/>
      <c r="G45" s="79"/>
      <c r="H45" s="79"/>
      <c r="I45" s="79"/>
      <c r="J45" s="79"/>
      <c r="K45" s="79"/>
      <c r="L45" s="79"/>
      <c r="M45" s="79"/>
      <c r="N45" s="79"/>
    </row>
    <row r="46" spans="1:14" x14ac:dyDescent="0.3">
      <c r="A46" s="3" t="s">
        <v>134</v>
      </c>
      <c r="B46" s="4" t="s">
        <v>135</v>
      </c>
      <c r="C46" s="79"/>
      <c r="D46" s="79" t="s">
        <v>136</v>
      </c>
      <c r="E46" s="79"/>
      <c r="F46" s="79"/>
      <c r="G46" s="79"/>
      <c r="H46" s="79"/>
      <c r="I46" s="79"/>
      <c r="J46" s="79"/>
      <c r="K46" s="79"/>
      <c r="L46" s="79"/>
      <c r="M46" s="79"/>
      <c r="N46" s="79"/>
    </row>
    <row r="47" spans="1:14" x14ac:dyDescent="0.3">
      <c r="A47" s="3" t="s">
        <v>137</v>
      </c>
      <c r="B47" s="4" t="s">
        <v>138</v>
      </c>
      <c r="C47" s="79"/>
      <c r="D47" s="79" t="s">
        <v>139</v>
      </c>
      <c r="E47" s="79"/>
      <c r="F47" s="79"/>
      <c r="G47" s="79"/>
      <c r="H47" s="79"/>
      <c r="I47" s="79"/>
      <c r="J47" s="79"/>
      <c r="K47" s="79"/>
      <c r="L47" s="79"/>
      <c r="M47" s="79"/>
      <c r="N47" s="79"/>
    </row>
    <row r="48" spans="1:14" x14ac:dyDescent="0.3">
      <c r="A48" s="3" t="s">
        <v>140</v>
      </c>
      <c r="B48" s="4" t="s">
        <v>102</v>
      </c>
      <c r="C48" s="79"/>
      <c r="D48" s="79" t="s">
        <v>103</v>
      </c>
      <c r="E48" s="79"/>
      <c r="F48" s="79"/>
      <c r="G48" s="79"/>
      <c r="H48" s="79"/>
      <c r="I48" s="79"/>
    </row>
  </sheetData>
  <mergeCells count="4">
    <mergeCell ref="J4:N4"/>
    <mergeCell ref="A5:A7"/>
    <mergeCell ref="B4:C4"/>
    <mergeCell ref="D4:I4"/>
  </mergeCells>
  <printOptions horizontalCentered="1"/>
  <pageMargins left="0.59055118110236227" right="0.59055118110236227" top="0.59055118110236227" bottom="0.59055118110236227" header="0.51181102362204722" footer="0.51181102362204722"/>
  <pageSetup paperSize="9" scale="78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Δεδομένα Μήνα</vt:lpstr>
      <vt:lpstr>Ισοζύγιο Μήνα</vt:lpstr>
      <vt:lpstr>Αναφορά Μήνα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Ρόκος Χαράλαμπος</dc:creator>
  <cp:lastModifiedBy>Grigorios Tsagris</cp:lastModifiedBy>
  <cp:lastPrinted>2020-11-06T12:44:49Z</cp:lastPrinted>
  <dcterms:created xsi:type="dcterms:W3CDTF">2009-05-10T17:06:33Z</dcterms:created>
  <dcterms:modified xsi:type="dcterms:W3CDTF">2021-11-04T07:46:56Z</dcterms:modified>
</cp:coreProperties>
</file>